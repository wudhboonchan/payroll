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chudap\Desktop\"/>
    </mc:Choice>
  </mc:AlternateContent>
  <xr:revisionPtr revIDLastSave="0" documentId="13_ncr:1_{DC2E0151-2116-4441-9422-A8B6AF51EC88}" xr6:coauthVersionLast="36" xr6:coauthVersionMax="47" xr10:uidLastSave="{00000000-0000-0000-0000-000000000000}"/>
  <bookViews>
    <workbookView xWindow="0" yWindow="0" windowWidth="19200" windowHeight="6810" activeTab="1" xr2:uid="{00000000-000D-0000-FFFF-FFFF00000000}"/>
  </bookViews>
  <sheets>
    <sheet name="Payroll" sheetId="1" r:id="rId1"/>
    <sheet name="Slip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AZpZrCbUehvz0MMosbSHmqZO2qwzYPhCfomjde0/hw4=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S17" i="1"/>
  <c r="S18" i="1"/>
  <c r="S19" i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S29" i="1"/>
  <c r="S30" i="1"/>
  <c r="S31" i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S41" i="1"/>
  <c r="S42" i="1"/>
  <c r="S43" i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S53" i="1"/>
  <c r="S54" i="1"/>
  <c r="S55" i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S65" i="1"/>
  <c r="S66" i="1"/>
  <c r="S67" i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S77" i="1"/>
  <c r="S78" i="1"/>
  <c r="S79" i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S89" i="1"/>
  <c r="S90" i="1"/>
  <c r="S91" i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S101" i="1"/>
  <c r="S102" i="1"/>
  <c r="S103" i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S113" i="1"/>
  <c r="S114" i="1"/>
  <c r="S115" i="1"/>
  <c r="S116" i="1"/>
  <c r="T116" i="1" s="1"/>
  <c r="S117" i="1"/>
  <c r="T117" i="1" s="1"/>
  <c r="T8" i="1"/>
  <c r="M8" i="1"/>
  <c r="N11" i="2"/>
  <c r="N10" i="2"/>
  <c r="T4" i="1"/>
  <c r="T5" i="1"/>
  <c r="T6" i="1"/>
  <c r="T7" i="1"/>
  <c r="T16" i="1"/>
  <c r="T17" i="1"/>
  <c r="T18" i="1"/>
  <c r="T19" i="1"/>
  <c r="T28" i="1"/>
  <c r="T29" i="1"/>
  <c r="T30" i="1"/>
  <c r="T31" i="1"/>
  <c r="T40" i="1"/>
  <c r="T41" i="1"/>
  <c r="T42" i="1"/>
  <c r="T43" i="1"/>
  <c r="T52" i="1"/>
  <c r="T53" i="1"/>
  <c r="T54" i="1"/>
  <c r="T55" i="1"/>
  <c r="T64" i="1"/>
  <c r="T65" i="1"/>
  <c r="T66" i="1"/>
  <c r="T67" i="1"/>
  <c r="T76" i="1"/>
  <c r="T77" i="1"/>
  <c r="T78" i="1"/>
  <c r="T79" i="1"/>
  <c r="T88" i="1"/>
  <c r="T89" i="1"/>
  <c r="T90" i="1"/>
  <c r="T91" i="1"/>
  <c r="T100" i="1"/>
  <c r="T101" i="1"/>
  <c r="T102" i="1"/>
  <c r="T103" i="1"/>
  <c r="T112" i="1"/>
  <c r="T113" i="1"/>
  <c r="T114" i="1"/>
  <c r="T115" i="1"/>
  <c r="M4" i="1"/>
  <c r="M5" i="1"/>
  <c r="M6" i="1"/>
  <c r="M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G118" i="1"/>
  <c r="E12" i="2" a="1"/>
  <c r="E12" i="2" s="1"/>
  <c r="E11" i="2" a="1"/>
  <c r="E11" i="2" s="1"/>
  <c r="E10" i="2" a="1"/>
  <c r="E10" i="2" s="1"/>
  <c r="E9" i="2" a="1"/>
  <c r="E9" i="2" s="1"/>
  <c r="N5" i="2" a="1"/>
  <c r="N5" i="2" s="1"/>
  <c r="E5" i="2" a="1"/>
  <c r="E5" i="2" s="1"/>
  <c r="N4" i="2" a="1"/>
  <c r="N4" i="2" s="1"/>
  <c r="R118" i="1"/>
  <c r="Q118" i="1"/>
  <c r="O118" i="1"/>
  <c r="L118" i="1"/>
  <c r="K118" i="1"/>
  <c r="J118" i="1"/>
  <c r="I118" i="1"/>
  <c r="H118" i="1"/>
  <c r="M3" i="1"/>
  <c r="P118" i="1" l="1"/>
  <c r="M118" i="1"/>
  <c r="N118" i="1"/>
  <c r="E15" i="2"/>
  <c r="N9" i="2" a="1"/>
  <c r="N9" i="2" s="1"/>
  <c r="S3" i="1"/>
  <c r="N15" i="2" l="1"/>
  <c r="N17" i="2" s="1"/>
  <c r="S118" i="1"/>
  <c r="T3" i="1"/>
  <c r="T118" i="1" s="1"/>
</calcChain>
</file>

<file path=xl/sharedStrings.xml><?xml version="1.0" encoding="utf-8"?>
<sst xmlns="http://schemas.openxmlformats.org/spreadsheetml/2006/main" count="395" uniqueCount="148">
  <si>
    <t>ลำดับ</t>
  </si>
  <si>
    <t>รหัสพนักงาน</t>
  </si>
  <si>
    <t>ชื่อ - นามสกุล</t>
  </si>
  <si>
    <t>ตำแหน่ง</t>
  </si>
  <si>
    <t>แผนก</t>
  </si>
  <si>
    <t>อัตราเงินเดือน</t>
  </si>
  <si>
    <t>เงินได้</t>
  </si>
  <si>
    <t>เงินหัก</t>
  </si>
  <si>
    <t>รวมเงินได้สุทธิ</t>
  </si>
  <si>
    <t>เงินเดือน</t>
  </si>
  <si>
    <t>ค่าตำแหน่ง</t>
  </si>
  <si>
    <t>โบนัส</t>
  </si>
  <si>
    <t>เงินได้อื่นๆ</t>
  </si>
  <si>
    <t>รวมเงินได้</t>
  </si>
  <si>
    <t>ประกันสังคม</t>
  </si>
  <si>
    <t>ภาษีเงินได้</t>
  </si>
  <si>
    <t>สำรองเลี้ยงชีพ</t>
  </si>
  <si>
    <t>หักอื่นๆ</t>
  </si>
  <si>
    <t>รวมเงินหัก</t>
  </si>
  <si>
    <t>รวมทั้งสิ้น</t>
  </si>
  <si>
    <t xml:space="preserve">*** ลิ้งค์ ข้อมูล ด้วย รหัสพนักงาน </t>
  </si>
  <si>
    <t>ใบจ่ายเงินเดือน (Pay Slip)</t>
  </si>
  <si>
    <t>เปลี่ยน รหัสพนักงาน ข้อมูลเปลี่ยนตาม</t>
  </si>
  <si>
    <t>รหัสพนักงาน :</t>
  </si>
  <si>
    <t>ตำแหน่ง :</t>
  </si>
  <si>
    <t>ชื่อ - นามสกุล :</t>
  </si>
  <si>
    <t>แผนก :</t>
  </si>
  <si>
    <t>วันที่จ่าย :</t>
  </si>
  <si>
    <t>ค่าจ้างเดือน :</t>
  </si>
  <si>
    <t>บาท</t>
  </si>
  <si>
    <t>ลงชื่อผู้จ่ายเงิน</t>
  </si>
  <si>
    <t>ลงชื่อผู้รับเงิน</t>
  </si>
  <si>
    <t>ค่าแรง</t>
  </si>
  <si>
    <t>OT</t>
  </si>
  <si>
    <t>พิเศษ</t>
  </si>
  <si>
    <t>เงินเบิก</t>
  </si>
  <si>
    <t>สัมพันธ์ นาทะคำ</t>
  </si>
  <si>
    <t>สมพงษ์ แก้วบุดดา</t>
  </si>
  <si>
    <t>อนัน เนื่องแอม</t>
  </si>
  <si>
    <t>ศักดิ์ดา</t>
  </si>
  <si>
    <t>นพรุธ คำน้อย</t>
  </si>
  <si>
    <t>ณัฐวุฒิ อู่เงิน</t>
  </si>
  <si>
    <t>นัฐพล ประดับราช</t>
  </si>
  <si>
    <t>ธนากร อิทธิกุล</t>
  </si>
  <si>
    <t xml:space="preserve">มานนท์ </t>
  </si>
  <si>
    <t>อาโบ (กระเหรี่ยง)</t>
  </si>
  <si>
    <t>ประหยัด เล็กกลาง</t>
  </si>
  <si>
    <t>วรพรรณ อุ่นจิตร</t>
  </si>
  <si>
    <t>จิรภัทร คันทา</t>
  </si>
  <si>
    <t>เอกชัย นามเสนา</t>
  </si>
  <si>
    <t>สวรรค์ สายทอง</t>
  </si>
  <si>
    <t>วัชรชัย ชิณวงศ์พรหม</t>
  </si>
  <si>
    <t>น้ำฝน ชูนาค</t>
  </si>
  <si>
    <t>กมลวรรณ อ่อนนุ่ม</t>
  </si>
  <si>
    <t>ใบเตี้ย สายพรม</t>
  </si>
  <si>
    <t>ณัฐริกา มนตรี</t>
  </si>
  <si>
    <t>มาริษา หอมหวน</t>
  </si>
  <si>
    <t>นางอุไรรัตน์ ดามัง</t>
  </si>
  <si>
    <t>สุมิตรา เลิศฤทธิ์</t>
  </si>
  <si>
    <t>ยุทธนา เตยสันเที๊ยะ</t>
  </si>
  <si>
    <t>อรอนงค์ จันทร์เทียน</t>
  </si>
  <si>
    <t>นภัทร (กระเหรี่ยง)</t>
  </si>
  <si>
    <t>ตาโบ้ (กระเหรี่ยง)</t>
  </si>
  <si>
    <t>มนต่มบี้ (กระเหรี่ยง)</t>
  </si>
  <si>
    <t>ขจรชัย (กระเหรี่ยง)</t>
  </si>
  <si>
    <t>โป้โบ (กระเหรี่ยง)</t>
  </si>
  <si>
    <t>อานนท์ นาบุญ</t>
  </si>
  <si>
    <t>วรรณ อู่เงิน</t>
  </si>
  <si>
    <t>ปรางค์ทอง แก้วฤาชา</t>
  </si>
  <si>
    <t>นางดวงใจ ชื่นชม</t>
  </si>
  <si>
    <t>ดวงแข หารศึก</t>
  </si>
  <si>
    <t>น้ำอ้อย โพธิ์ทอง</t>
  </si>
  <si>
    <t>มณีรัตน์ เดนดง</t>
  </si>
  <si>
    <t>อรสา แสงจันทร์</t>
  </si>
  <si>
    <t>อโนชา วานิ</t>
  </si>
  <si>
    <t>พฤหัส  (กระเหรี่ยง)</t>
  </si>
  <si>
    <t>ทิพย์วิมล  เพ็งสอน</t>
  </si>
  <si>
    <t>มูทู  (กระเหรี่ยง)</t>
  </si>
  <si>
    <t>ดี๊ทูทู   (กระเหรี่ยง)</t>
  </si>
  <si>
    <t>นอดา  (กระเหรี่ยง)</t>
  </si>
  <si>
    <t>หน่อดา (กระเหรี่ยง)</t>
  </si>
  <si>
    <t>หน่อดา</t>
  </si>
  <si>
    <t>น้อวา</t>
  </si>
  <si>
    <t>จันทกานต์ (กระเหรี่ยง)</t>
  </si>
  <si>
    <t>เซโยพอ (กระเหรี่ยง)</t>
  </si>
  <si>
    <t>ดารีนา ไวไธสง</t>
  </si>
  <si>
    <t>รัตนาพร ชูใจ</t>
  </si>
  <si>
    <t>วิลัยภรณ์ สมาจารย์</t>
  </si>
  <si>
    <t>ประชุม  บุตรเพชร</t>
  </si>
  <si>
    <t>จิราพัชร เนื่องแอม</t>
  </si>
  <si>
    <t>ลิขิต โลจรัส</t>
  </si>
  <si>
    <t>อุไร  ดวงสอาด</t>
  </si>
  <si>
    <t>ประนิดา ธรรมวัฒิ</t>
  </si>
  <si>
    <t>ประยงค์ ประเสริฐจิตร</t>
  </si>
  <si>
    <t>เย็นจิตร บุญประวัติ</t>
  </si>
  <si>
    <t>นางจิราภรณ์  โมจุ้ย</t>
  </si>
  <si>
    <t>ลามึ ตะวันเชิงพลบ</t>
  </si>
  <si>
    <t>ทนงค์ ลิทธิเรือง</t>
  </si>
  <si>
    <t>บรรจง เจริญหุ่น</t>
  </si>
  <si>
    <t>มึโฉ่  (กระเหรี่ยง)</t>
  </si>
  <si>
    <t>ละเหม่หม่อง (กระเหรี่ยง)</t>
  </si>
  <si>
    <t>เล้อคึพอ</t>
  </si>
  <si>
    <t>อรทัย ทองคำ</t>
  </si>
  <si>
    <t>ดุสดี เชื้อสายร่มเย็น</t>
  </si>
  <si>
    <t>น่อมึดา ---------</t>
  </si>
  <si>
    <t>บุญใช้  ดงกระโทก</t>
  </si>
  <si>
    <t>จิรนันท์  วงศ์งาม</t>
  </si>
  <si>
    <t>ฟ้านิรัดร์ พรมศรี</t>
  </si>
  <si>
    <t>สมพิศ  จันทร์ขาว</t>
  </si>
  <si>
    <t>นงลักษณ์ ดวงแก้ว</t>
  </si>
  <si>
    <t>ศิริวิทย์ (กระเหรี่ยง)</t>
  </si>
  <si>
    <t>มิ่งขวัญ (กระเหรี่ยง)</t>
  </si>
  <si>
    <t>อนุรักษ์ ศิริแสง</t>
  </si>
  <si>
    <t>นันทยศ (กระเหรี่ยง)</t>
  </si>
  <si>
    <t>ธนัชพร สุบิน</t>
  </si>
  <si>
    <t>ปาน โฮมชัยวงศ์</t>
  </si>
  <si>
    <t>นฤมล พักสร</t>
  </si>
  <si>
    <t>ตาปี้ (กระเหรี่ยง)</t>
  </si>
  <si>
    <t>นันทิยา หงสีทอง</t>
  </si>
  <si>
    <t>สุวิมล หงลีทอง</t>
  </si>
  <si>
    <t>ปกรณ์</t>
  </si>
  <si>
    <t>บรรจบ</t>
  </si>
  <si>
    <t>ธวัชชัย  อู่เงิน</t>
  </si>
  <si>
    <t>สุดา สมขุนทด</t>
  </si>
  <si>
    <t>กิตติภพ วนานิเวศ</t>
  </si>
  <si>
    <t>น่อมึ</t>
  </si>
  <si>
    <t>ลำยวง เนยดอน</t>
  </si>
  <si>
    <t>ยงยุทธ</t>
  </si>
  <si>
    <t>น้องเล็ก</t>
  </si>
  <si>
    <t>พอยิ</t>
  </si>
  <si>
    <t>หฤทัย</t>
  </si>
  <si>
    <t>จ่อแฮเห่ง</t>
  </si>
  <si>
    <t>เกรียงไกร</t>
  </si>
  <si>
    <t>อนงค์ พรมเคน</t>
  </si>
  <si>
    <t>ณัฐพงษ์ สมนึก</t>
  </si>
  <si>
    <t>กัญญารัตน์</t>
  </si>
  <si>
    <t>วิไลวรรณ สำรวมรัมย์</t>
  </si>
  <si>
    <t>พลวัฒน์</t>
  </si>
  <si>
    <t>ใหม่ พลอยรัศมี</t>
  </si>
  <si>
    <t>อาทิตย์ ณ เชียงใหม่</t>
  </si>
  <si>
    <t>มาลิษา สีจันทร์</t>
  </si>
  <si>
    <t>พิศมัย</t>
  </si>
  <si>
    <t>ลำพึง สรรพสอน</t>
  </si>
  <si>
    <t>บัณฑิตา จันทวงษ์</t>
  </si>
  <si>
    <t>กิจติพงษ์ จันทร์ที</t>
  </si>
  <si>
    <t>16-30/04/2026</t>
  </si>
  <si>
    <t>หจก.วิราญกร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</si>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</sst>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9" x14ac:knownFonts="1">
    <font>
      <sz val="15"/>
      <color theme="1"/>
      <name val="Angsana New"/>
      <scheme val="minor"/>
    </font>
    <font>
      <b/>
      <sz val="16"/>
      <color theme="1"/>
      <name val="Angsana New"/>
      <family val="1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sz val="15"/>
      <name val="Angsana New"/>
      <family val="1"/>
    </font>
    <font>
      <b/>
      <sz val="24"/>
      <color theme="1"/>
      <name val="Angsana New"/>
      <family val="1"/>
    </font>
    <font>
      <sz val="15"/>
      <color theme="1"/>
      <name val="Angsana New"/>
      <family val="1"/>
      <scheme val="minor"/>
    </font>
    <font>
      <b/>
      <sz val="17"/>
      <color theme="1"/>
      <name val="Angsana New"/>
      <family val="1"/>
    </font>
    <font>
      <sz val="17"/>
      <color theme="1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FFF66"/>
        <bgColor rgb="FFFFFF66"/>
      </patternFill>
    </fill>
    <fill>
      <patternFill patternType="solid">
        <fgColor rgb="FF84E291"/>
        <bgColor rgb="FF84E291"/>
      </patternFill>
    </fill>
    <fill>
      <patternFill patternType="solid">
        <fgColor rgb="FFD0D0D0"/>
        <bgColor rgb="FFD0D0D0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3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164" fontId="2" fillId="0" borderId="14" xfId="0" applyNumberFormat="1" applyFont="1" applyBorder="1"/>
    <xf numFmtId="164" fontId="2" fillId="2" borderId="11" xfId="0" applyNumberFormat="1" applyFont="1" applyFill="1" applyBorder="1"/>
    <xf numFmtId="164" fontId="2" fillId="2" borderId="12" xfId="0" applyNumberFormat="1" applyFont="1" applyFill="1" applyBorder="1"/>
    <xf numFmtId="164" fontId="2" fillId="2" borderId="13" xfId="0" applyNumberFormat="1" applyFont="1" applyFill="1" applyBorder="1"/>
    <xf numFmtId="164" fontId="3" fillId="2" borderId="14" xfId="0" applyNumberFormat="1" applyFont="1" applyFill="1" applyBorder="1"/>
    <xf numFmtId="164" fontId="2" fillId="3" borderId="11" xfId="0" applyNumberFormat="1" applyFont="1" applyFill="1" applyBorder="1"/>
    <xf numFmtId="164" fontId="2" fillId="3" borderId="12" xfId="0" applyNumberFormat="1" applyFont="1" applyFill="1" applyBorder="1"/>
    <xf numFmtId="164" fontId="3" fillId="3" borderId="14" xfId="0" applyNumberFormat="1" applyFont="1" applyFill="1" applyBorder="1"/>
    <xf numFmtId="164" fontId="3" fillId="4" borderId="16" xfId="0" applyNumberFormat="1" applyFont="1" applyFill="1" applyBorder="1"/>
    <xf numFmtId="164" fontId="3" fillId="5" borderId="20" xfId="0" applyNumberFormat="1" applyFont="1" applyFill="1" applyBorder="1"/>
    <xf numFmtId="164" fontId="3" fillId="5" borderId="21" xfId="0" applyNumberFormat="1" applyFont="1" applyFill="1" applyBorder="1"/>
    <xf numFmtId="164" fontId="3" fillId="5" borderId="22" xfId="0" applyNumberFormat="1" applyFont="1" applyFill="1" applyBorder="1"/>
    <xf numFmtId="164" fontId="3" fillId="5" borderId="23" xfId="0" applyNumberFormat="1" applyFont="1" applyFill="1" applyBorder="1"/>
    <xf numFmtId="164" fontId="3" fillId="5" borderId="24" xfId="0" applyNumberFormat="1" applyFont="1" applyFill="1" applyBorder="1"/>
    <xf numFmtId="0" fontId="6" fillId="0" borderId="0" xfId="0" applyFont="1" applyAlignment="1"/>
    <xf numFmtId="0" fontId="2" fillId="0" borderId="25" xfId="0" applyFont="1" applyBorder="1" applyAlignment="1">
      <alignment horizontal="left"/>
    </xf>
    <xf numFmtId="0" fontId="2" fillId="0" borderId="26" xfId="0" applyFont="1" applyBorder="1"/>
    <xf numFmtId="0" fontId="2" fillId="0" borderId="27" xfId="0" applyFont="1" applyBorder="1"/>
    <xf numFmtId="0" fontId="2" fillId="0" borderId="30" xfId="0" applyFont="1" applyBorder="1" applyAlignment="1">
      <alignment horizontal="left"/>
    </xf>
    <xf numFmtId="0" fontId="2" fillId="0" borderId="31" xfId="0" applyFont="1" applyBorder="1"/>
    <xf numFmtId="0" fontId="2" fillId="0" borderId="32" xfId="0" applyFont="1" applyBorder="1"/>
    <xf numFmtId="0" fontId="2" fillId="0" borderId="35" xfId="0" applyFont="1" applyBorder="1" applyAlignment="1">
      <alignment horizontal="left"/>
    </xf>
    <xf numFmtId="0" fontId="2" fillId="0" borderId="36" xfId="0" applyFont="1" applyBorder="1"/>
    <xf numFmtId="0" fontId="2" fillId="0" borderId="37" xfId="0" applyFont="1" applyBorder="1"/>
    <xf numFmtId="0" fontId="7" fillId="6" borderId="52" xfId="0" applyFont="1" applyFill="1" applyBorder="1"/>
    <xf numFmtId="0" fontId="8" fillId="6" borderId="53" xfId="0" applyFont="1" applyFill="1" applyBorder="1"/>
    <xf numFmtId="0" fontId="7" fillId="6" borderId="53" xfId="0" applyFont="1" applyFill="1" applyBorder="1" applyAlignment="1">
      <alignment horizontal="left"/>
    </xf>
    <xf numFmtId="0" fontId="7" fillId="6" borderId="54" xfId="0" applyFont="1" applyFill="1" applyBorder="1" applyAlignment="1">
      <alignment horizontal="left"/>
    </xf>
    <xf numFmtId="0" fontId="2" fillId="0" borderId="55" xfId="0" applyFont="1" applyBorder="1"/>
    <xf numFmtId="0" fontId="0" fillId="0" borderId="0" xfId="0" applyFont="1" applyAlignment="1"/>
    <xf numFmtId="0" fontId="2" fillId="0" borderId="28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0" fillId="0" borderId="56" xfId="0" applyFont="1" applyBorder="1" applyAlignment="1"/>
    <xf numFmtId="0" fontId="0" fillId="0" borderId="58" xfId="0" applyFont="1" applyBorder="1" applyAlignment="1"/>
    <xf numFmtId="0" fontId="0" fillId="0" borderId="59" xfId="0" applyFont="1" applyBorder="1" applyAlignment="1"/>
    <xf numFmtId="0" fontId="0" fillId="0" borderId="6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left"/>
    </xf>
    <xf numFmtId="0" fontId="0" fillId="0" borderId="61" xfId="0" applyFont="1" applyBorder="1" applyAlignment="1"/>
    <xf numFmtId="0" fontId="0" fillId="0" borderId="62" xfId="0" applyFont="1" applyBorder="1" applyAlignment="1"/>
    <xf numFmtId="0" fontId="0" fillId="0" borderId="63" xfId="0" applyFont="1" applyBorder="1" applyAlignment="1"/>
    <xf numFmtId="0" fontId="2" fillId="0" borderId="12" xfId="0" quotePrefix="1" applyFont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3" fillId="4" borderId="7" xfId="0" applyFont="1" applyFill="1" applyBorder="1" applyAlignment="1">
      <alignment horizontal="center" vertical="center"/>
    </xf>
    <xf numFmtId="0" fontId="4" fillId="0" borderId="15" xfId="0" applyFont="1" applyBorder="1"/>
    <xf numFmtId="0" fontId="3" fillId="0" borderId="1" xfId="0" applyFont="1" applyBorder="1" applyAlignment="1">
      <alignment horizontal="center" vertical="center"/>
    </xf>
    <xf numFmtId="0" fontId="4" fillId="0" borderId="8" xfId="0" applyFont="1" applyBorder="1"/>
    <xf numFmtId="0" fontId="3" fillId="0" borderId="2" xfId="0" applyFont="1" applyBorder="1" applyAlignment="1">
      <alignment horizontal="center" vertical="center"/>
    </xf>
    <xf numFmtId="0" fontId="4" fillId="0" borderId="9" xfId="0" applyFont="1" applyBorder="1"/>
    <xf numFmtId="0" fontId="3" fillId="0" borderId="3" xfId="0" applyFont="1" applyBorder="1" applyAlignment="1">
      <alignment horizontal="center" vertical="center"/>
    </xf>
    <xf numFmtId="0" fontId="4" fillId="0" borderId="10" xfId="0" applyFont="1" applyBorder="1"/>
    <xf numFmtId="0" fontId="3" fillId="2" borderId="4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left"/>
    </xf>
    <xf numFmtId="0" fontId="4" fillId="0" borderId="54" xfId="0" applyFont="1" applyBorder="1"/>
    <xf numFmtId="164" fontId="7" fillId="6" borderId="52" xfId="0" applyNumberFormat="1" applyFont="1" applyFill="1" applyBorder="1" applyAlignment="1">
      <alignment horizontal="right"/>
    </xf>
    <xf numFmtId="0" fontId="4" fillId="0" borderId="53" xfId="0" applyFont="1" applyBorder="1"/>
    <xf numFmtId="0" fontId="3" fillId="6" borderId="52" xfId="0" applyFont="1" applyFill="1" applyBorder="1" applyAlignment="1">
      <alignment horizontal="left" vertical="center"/>
    </xf>
    <xf numFmtId="0" fontId="4" fillId="0" borderId="50" xfId="0" applyFont="1" applyBorder="1"/>
    <xf numFmtId="164" fontId="3" fillId="6" borderId="51" xfId="0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left" vertical="center"/>
    </xf>
    <xf numFmtId="0" fontId="4" fillId="0" borderId="31" xfId="0" applyFont="1" applyBorder="1"/>
    <xf numFmtId="0" fontId="4" fillId="0" borderId="32" xfId="0" applyFont="1" applyBorder="1"/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164" fontId="2" fillId="0" borderId="33" xfId="0" applyNumberFormat="1" applyFont="1" applyBorder="1" applyAlignment="1">
      <alignment horizontal="right"/>
    </xf>
    <xf numFmtId="0" fontId="2" fillId="0" borderId="31" xfId="0" applyFont="1" applyBorder="1" applyAlignment="1">
      <alignment horizontal="left"/>
    </xf>
    <xf numFmtId="0" fontId="4" fillId="0" borderId="34" xfId="0" applyFont="1" applyBorder="1"/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164" fontId="2" fillId="0" borderId="31" xfId="0" applyNumberFormat="1" applyFont="1" applyBorder="1" applyAlignment="1">
      <alignment horizontal="right"/>
    </xf>
    <xf numFmtId="164" fontId="2" fillId="0" borderId="32" xfId="0" applyNumberFormat="1" applyFont="1" applyBorder="1" applyAlignment="1">
      <alignment horizontal="right"/>
    </xf>
    <xf numFmtId="0" fontId="2" fillId="0" borderId="40" xfId="0" applyFont="1" applyBorder="1" applyAlignment="1">
      <alignment horizontal="left" vertical="center"/>
    </xf>
    <xf numFmtId="0" fontId="4" fillId="0" borderId="41" xfId="0" applyFont="1" applyBorder="1"/>
    <xf numFmtId="0" fontId="4" fillId="0" borderId="42" xfId="0" applyFont="1" applyBorder="1"/>
    <xf numFmtId="0" fontId="2" fillId="0" borderId="46" xfId="0" applyFont="1" applyBorder="1" applyAlignment="1">
      <alignment horizontal="left"/>
    </xf>
    <xf numFmtId="0" fontId="4" fillId="0" borderId="49" xfId="0" applyFont="1" applyBorder="1"/>
    <xf numFmtId="0" fontId="5" fillId="0" borderId="57" xfId="0" applyFont="1" applyBorder="1" applyAlignment="1">
      <alignment horizontal="center" vertical="center"/>
    </xf>
    <xf numFmtId="0" fontId="0" fillId="0" borderId="57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2" fillId="0" borderId="28" xfId="0" applyFont="1" applyBorder="1" applyAlignment="1">
      <alignment horizontal="left"/>
    </xf>
    <xf numFmtId="0" fontId="4" fillId="0" borderId="26" xfId="0" applyFont="1" applyBorder="1"/>
    <xf numFmtId="0" fontId="4" fillId="0" borderId="27" xfId="0" applyFont="1" applyBorder="1"/>
    <xf numFmtId="0" fontId="4" fillId="0" borderId="29" xfId="0" applyFont="1" applyBorder="1"/>
    <xf numFmtId="0" fontId="2" fillId="0" borderId="38" xfId="0" applyFont="1" applyBorder="1" applyAlignment="1">
      <alignment horizontal="left"/>
    </xf>
    <xf numFmtId="0" fontId="4" fillId="0" borderId="36" xfId="0" applyFont="1" applyBorder="1"/>
    <xf numFmtId="0" fontId="4" fillId="0" borderId="39" xfId="0" applyFont="1" applyBorder="1"/>
    <xf numFmtId="164" fontId="2" fillId="0" borderId="43" xfId="0" applyNumberFormat="1" applyFont="1" applyBorder="1" applyAlignment="1">
      <alignment horizontal="right"/>
    </xf>
    <xf numFmtId="0" fontId="2" fillId="0" borderId="41" xfId="0" applyFont="1" applyBorder="1" applyAlignment="1">
      <alignment horizontal="left"/>
    </xf>
    <xf numFmtId="0" fontId="4" fillId="0" borderId="44" xfId="0" applyFont="1" applyBorder="1"/>
    <xf numFmtId="14" fontId="2" fillId="0" borderId="38" xfId="0" applyNumberFormat="1" applyFont="1" applyBorder="1" applyAlignment="1">
      <alignment horizontal="left"/>
    </xf>
    <xf numFmtId="0" fontId="4" fillId="0" borderId="37" xfId="0" applyFont="1" applyBorder="1"/>
    <xf numFmtId="0" fontId="3" fillId="0" borderId="52" xfId="0" applyFont="1" applyBorder="1" applyAlignment="1">
      <alignment horizontal="center"/>
    </xf>
    <xf numFmtId="0" fontId="2" fillId="0" borderId="45" xfId="0" applyFont="1" applyBorder="1" applyAlignment="1">
      <alignment horizontal="left" vertical="center"/>
    </xf>
    <xf numFmtId="0" fontId="4" fillId="0" borderId="46" xfId="0" applyFont="1" applyBorder="1"/>
    <xf numFmtId="0" fontId="4" fillId="0" borderId="47" xfId="0" applyFont="1" applyBorder="1"/>
    <xf numFmtId="164" fontId="2" fillId="0" borderId="4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ngsana New"/>
        <a:ea typeface="Angsana New"/>
        <a:cs typeface="Angsana New"/>
      </a:majorFont>
      <a:minorFont>
        <a:latin typeface="Angsana New"/>
        <a:ea typeface="Angsana New"/>
        <a:cs typeface="Angsan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03"/>
  <sheetViews>
    <sheetView showGridLines="0" topLeftCell="A61" zoomScale="70" zoomScaleNormal="70" workbookViewId="0">
      <selection activeCell="N118" sqref="N118"/>
    </sheetView>
  </sheetViews>
  <sheetFormatPr defaultColWidth="9.09765625" defaultRowHeight="15" customHeight="1" x14ac:dyDescent="0.65"/>
  <cols>
    <col min="1" max="1" width="5.59765625" bestFit="1" customWidth="1"/>
    <col min="2" max="2" width="12.5" bestFit="1" customWidth="1"/>
    <col min="3" max="3" width="22.8984375" bestFit="1" customWidth="1"/>
    <col min="4" max="4" width="31" customWidth="1"/>
    <col min="5" max="5" width="19" bestFit="1" customWidth="1"/>
    <col min="6" max="6" width="13" bestFit="1" customWidth="1"/>
    <col min="7" max="7" width="8.8984375" bestFit="1" customWidth="1"/>
    <col min="8" max="8" width="10.19921875" bestFit="1" customWidth="1"/>
    <col min="9" max="10" width="10.09765625" bestFit="1" customWidth="1"/>
    <col min="11" max="11" width="5.8984375" bestFit="1" customWidth="1"/>
    <col min="12" max="12" width="9.69921875" bestFit="1" customWidth="1"/>
    <col min="13" max="13" width="9.59765625" bestFit="1" customWidth="1"/>
    <col min="14" max="14" width="12.19921875" bestFit="1" customWidth="1"/>
    <col min="15" max="15" width="9.59765625" bestFit="1" customWidth="1"/>
    <col min="16" max="16" width="13.19921875" bestFit="1" customWidth="1"/>
    <col min="17" max="17" width="10.3984375" bestFit="1" customWidth="1"/>
    <col min="18" max="18" width="7.3984375" bestFit="1" customWidth="1"/>
    <col min="19" max="19" width="10.19921875" bestFit="1" customWidth="1"/>
    <col min="20" max="20" width="13.69921875" bestFit="1" customWidth="1"/>
    <col min="21" max="26" width="8.5" customWidth="1"/>
  </cols>
  <sheetData>
    <row r="1" spans="1:26" ht="21.75" customHeight="1" x14ac:dyDescent="0.7">
      <c r="A1" s="64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8" t="s">
        <v>5</v>
      </c>
      <c r="G1" s="70" t="s">
        <v>6</v>
      </c>
      <c r="H1" s="60"/>
      <c r="I1" s="60"/>
      <c r="J1" s="60"/>
      <c r="K1" s="60"/>
      <c r="L1" s="60"/>
      <c r="M1" s="61"/>
      <c r="N1" s="59" t="s">
        <v>7</v>
      </c>
      <c r="O1" s="60"/>
      <c r="P1" s="60"/>
      <c r="Q1" s="60"/>
      <c r="R1" s="60"/>
      <c r="S1" s="61"/>
      <c r="T1" s="62" t="s">
        <v>8</v>
      </c>
      <c r="U1" s="1"/>
      <c r="V1" s="1"/>
      <c r="W1" s="1"/>
      <c r="X1" s="1"/>
      <c r="Y1" s="1"/>
      <c r="Z1" s="1"/>
    </row>
    <row r="2" spans="1:26" ht="21.75" customHeight="1" x14ac:dyDescent="0.7">
      <c r="A2" s="65"/>
      <c r="B2" s="67"/>
      <c r="C2" s="67"/>
      <c r="D2" s="67"/>
      <c r="E2" s="67"/>
      <c r="F2" s="69"/>
      <c r="G2" s="2" t="s">
        <v>32</v>
      </c>
      <c r="H2" s="3" t="s">
        <v>10</v>
      </c>
      <c r="I2" s="3" t="s">
        <v>33</v>
      </c>
      <c r="J2" s="3" t="s">
        <v>34</v>
      </c>
      <c r="K2" s="3" t="s">
        <v>11</v>
      </c>
      <c r="L2" s="4" t="s">
        <v>12</v>
      </c>
      <c r="M2" s="5" t="s">
        <v>13</v>
      </c>
      <c r="N2" s="6" t="s">
        <v>14</v>
      </c>
      <c r="O2" s="7" t="s">
        <v>15</v>
      </c>
      <c r="P2" s="7" t="s">
        <v>16</v>
      </c>
      <c r="Q2" s="7" t="s">
        <v>35</v>
      </c>
      <c r="R2" s="7" t="s">
        <v>17</v>
      </c>
      <c r="S2" s="8" t="s">
        <v>18</v>
      </c>
      <c r="T2" s="63"/>
      <c r="U2" s="1"/>
      <c r="V2" s="1"/>
      <c r="W2" s="1"/>
      <c r="X2" s="1"/>
      <c r="Y2" s="1"/>
      <c r="Z2" s="1"/>
    </row>
    <row r="3" spans="1:26" ht="21.75" customHeight="1" x14ac:dyDescent="0.7">
      <c r="A3" s="9">
        <v>1</v>
      </c>
      <c r="B3" s="10">
        <v>1001</v>
      </c>
      <c r="C3" s="11" t="s">
        <v>36</v>
      </c>
      <c r="D3" s="10" t="s">
        <v>147</v>
      </c>
      <c r="E3" s="55" t="s">
        <v>147</v>
      </c>
      <c r="F3" s="12"/>
      <c r="G3" s="13">
        <v>5133.1466666666674</v>
      </c>
      <c r="H3" s="14"/>
      <c r="I3" s="14">
        <v>2566.5600000000004</v>
      </c>
      <c r="J3" s="14">
        <v>600</v>
      </c>
      <c r="K3" s="14">
        <v>0</v>
      </c>
      <c r="L3" s="15">
        <v>0</v>
      </c>
      <c r="M3" s="16">
        <f>SUM(G3:K3)</f>
        <v>8299.7066666666688</v>
      </c>
      <c r="N3" s="17">
        <v>256.65733333333338</v>
      </c>
      <c r="O3" s="18">
        <v>0</v>
      </c>
      <c r="P3" s="18"/>
      <c r="Q3" s="18">
        <v>0</v>
      </c>
      <c r="R3" s="18">
        <v>0</v>
      </c>
      <c r="S3" s="19">
        <f t="shared" ref="S3:S66" si="0">SUM(N3:R3)</f>
        <v>256.65733333333338</v>
      </c>
      <c r="T3" s="20">
        <f t="shared" ref="T3:T66" si="1">+M3-S3</f>
        <v>8043.0493333333352</v>
      </c>
    </row>
    <row r="4" spans="1:26" s="41" customFormat="1" ht="21.75" customHeight="1" x14ac:dyDescent="0.7">
      <c r="A4" s="9">
        <v>2</v>
      </c>
      <c r="B4" s="10">
        <v>1002</v>
      </c>
      <c r="C4" s="11" t="s">
        <v>37</v>
      </c>
      <c r="D4" s="10" t="s">
        <v>147</v>
      </c>
      <c r="E4" s="55" t="s">
        <v>147</v>
      </c>
      <c r="F4" s="12"/>
      <c r="G4" s="13">
        <v>6533.3380000000016</v>
      </c>
      <c r="H4" s="14"/>
      <c r="I4" s="14">
        <v>3266.6199999999994</v>
      </c>
      <c r="J4" s="14">
        <v>7800</v>
      </c>
      <c r="K4" s="14"/>
      <c r="L4" s="15"/>
      <c r="M4" s="16">
        <f t="shared" ref="M4:M67" si="2">SUM(G4:K4)</f>
        <v>17599.957999999999</v>
      </c>
      <c r="N4" s="17">
        <v>326.66690000000011</v>
      </c>
      <c r="O4" s="18"/>
      <c r="P4" s="18"/>
      <c r="Q4" s="18">
        <v>0</v>
      </c>
      <c r="R4" s="18"/>
      <c r="S4" s="19">
        <f t="shared" si="0"/>
        <v>326.66690000000011</v>
      </c>
      <c r="T4" s="20">
        <f t="shared" si="1"/>
        <v>17273.291099999999</v>
      </c>
    </row>
    <row r="5" spans="1:26" s="41" customFormat="1" ht="21.75" customHeight="1" x14ac:dyDescent="0.7">
      <c r="A5" s="9">
        <v>3</v>
      </c>
      <c r="B5" s="10">
        <v>1003</v>
      </c>
      <c r="C5" s="11" t="s">
        <v>38</v>
      </c>
      <c r="D5" s="10" t="s">
        <v>147</v>
      </c>
      <c r="E5" s="55" t="s">
        <v>147</v>
      </c>
      <c r="F5" s="12"/>
      <c r="G5" s="13">
        <v>6066.6706666666678</v>
      </c>
      <c r="H5" s="14"/>
      <c r="I5" s="14">
        <v>3033.2899999999995</v>
      </c>
      <c r="J5" s="14">
        <v>7800</v>
      </c>
      <c r="K5" s="14"/>
      <c r="L5" s="15"/>
      <c r="M5" s="16">
        <f t="shared" si="2"/>
        <v>16899.960666666666</v>
      </c>
      <c r="N5" s="17">
        <v>303.33353333333338</v>
      </c>
      <c r="O5" s="18"/>
      <c r="P5" s="18"/>
      <c r="Q5" s="18">
        <v>0</v>
      </c>
      <c r="R5" s="18"/>
      <c r="S5" s="19">
        <f t="shared" si="0"/>
        <v>303.33353333333338</v>
      </c>
      <c r="T5" s="20">
        <f t="shared" si="1"/>
        <v>16596.627133333332</v>
      </c>
    </row>
    <row r="6" spans="1:26" s="41" customFormat="1" ht="21.75" customHeight="1" x14ac:dyDescent="0.7">
      <c r="A6" s="9">
        <v>4</v>
      </c>
      <c r="B6" s="10">
        <v>1004</v>
      </c>
      <c r="C6" s="11" t="s">
        <v>39</v>
      </c>
      <c r="D6" s="10" t="s">
        <v>147</v>
      </c>
      <c r="E6" s="55" t="s">
        <v>147</v>
      </c>
      <c r="F6" s="12"/>
      <c r="G6" s="13">
        <v>5600.0000000000009</v>
      </c>
      <c r="H6" s="14"/>
      <c r="I6" s="14">
        <v>2799.9599999999996</v>
      </c>
      <c r="J6" s="14">
        <v>0</v>
      </c>
      <c r="K6" s="14"/>
      <c r="L6" s="15"/>
      <c r="M6" s="16">
        <f t="shared" si="2"/>
        <v>8399.9600000000009</v>
      </c>
      <c r="N6" s="17">
        <v>280.00000000000006</v>
      </c>
      <c r="O6" s="18"/>
      <c r="P6" s="18"/>
      <c r="Q6" s="18">
        <v>0</v>
      </c>
      <c r="R6" s="18"/>
      <c r="S6" s="19">
        <f t="shared" si="0"/>
        <v>280.00000000000006</v>
      </c>
      <c r="T6" s="20">
        <f t="shared" si="1"/>
        <v>8119.9600000000009</v>
      </c>
    </row>
    <row r="7" spans="1:26" s="41" customFormat="1" ht="21.75" customHeight="1" x14ac:dyDescent="0.7">
      <c r="A7" s="9">
        <v>5</v>
      </c>
      <c r="B7" s="10">
        <v>1005</v>
      </c>
      <c r="C7" s="11" t="s">
        <v>40</v>
      </c>
      <c r="D7" s="10" t="s">
        <v>147</v>
      </c>
      <c r="E7" s="55" t="s">
        <v>147</v>
      </c>
      <c r="F7" s="12"/>
      <c r="G7" s="13">
        <v>4666</v>
      </c>
      <c r="H7" s="14"/>
      <c r="I7" s="14">
        <v>2333</v>
      </c>
      <c r="J7" s="14">
        <v>0</v>
      </c>
      <c r="K7" s="14"/>
      <c r="L7" s="15"/>
      <c r="M7" s="16">
        <f t="shared" si="2"/>
        <v>6999</v>
      </c>
      <c r="N7" s="17">
        <v>233.3</v>
      </c>
      <c r="O7" s="18"/>
      <c r="P7" s="18"/>
      <c r="Q7" s="18">
        <v>3000</v>
      </c>
      <c r="R7" s="18"/>
      <c r="S7" s="19">
        <f t="shared" si="0"/>
        <v>3233.3</v>
      </c>
      <c r="T7" s="20">
        <f t="shared" si="1"/>
        <v>3765.7</v>
      </c>
    </row>
    <row r="8" spans="1:26" s="41" customFormat="1" ht="21.75" customHeight="1" x14ac:dyDescent="0.7">
      <c r="A8" s="9">
        <v>6</v>
      </c>
      <c r="B8" s="10">
        <v>1006</v>
      </c>
      <c r="C8" s="11" t="s">
        <v>41</v>
      </c>
      <c r="D8" s="10" t="s">
        <v>147</v>
      </c>
      <c r="E8" s="55" t="s">
        <v>147</v>
      </c>
      <c r="F8" s="12"/>
      <c r="G8" s="13">
        <v>6099.956666666666</v>
      </c>
      <c r="H8" s="14"/>
      <c r="I8" s="14">
        <v>3046.5300000000007</v>
      </c>
      <c r="J8" s="14">
        <v>900</v>
      </c>
      <c r="K8" s="14"/>
      <c r="L8" s="15"/>
      <c r="M8" s="16">
        <f>SUM(G8:K8)</f>
        <v>10046.486666666668</v>
      </c>
      <c r="N8" s="17">
        <v>304.99783333333329</v>
      </c>
      <c r="O8" s="18"/>
      <c r="P8" s="18"/>
      <c r="Q8" s="18">
        <v>3000</v>
      </c>
      <c r="R8" s="18"/>
      <c r="S8" s="19">
        <f t="shared" si="0"/>
        <v>3304.9978333333333</v>
      </c>
      <c r="T8" s="20">
        <f>+M8-S8</f>
        <v>6741.4888333333347</v>
      </c>
    </row>
    <row r="9" spans="1:26" s="41" customFormat="1" ht="21.75" customHeight="1" x14ac:dyDescent="0.7">
      <c r="A9" s="9">
        <v>7</v>
      </c>
      <c r="B9" s="10">
        <v>1007</v>
      </c>
      <c r="C9" s="11" t="s">
        <v>42</v>
      </c>
      <c r="D9" s="10" t="s">
        <v>147</v>
      </c>
      <c r="E9" s="55" t="s">
        <v>147</v>
      </c>
      <c r="F9" s="12"/>
      <c r="G9" s="13">
        <v>3349.9599999999996</v>
      </c>
      <c r="H9" s="14"/>
      <c r="I9" s="14">
        <v>1565.5800000000002</v>
      </c>
      <c r="J9" s="14">
        <v>0</v>
      </c>
      <c r="K9" s="14"/>
      <c r="L9" s="15"/>
      <c r="M9" s="16">
        <f t="shared" si="2"/>
        <v>4915.54</v>
      </c>
      <c r="N9" s="17">
        <v>167.49799999999999</v>
      </c>
      <c r="O9" s="18"/>
      <c r="P9" s="18"/>
      <c r="Q9" s="18">
        <v>0</v>
      </c>
      <c r="R9" s="18"/>
      <c r="S9" s="19">
        <f t="shared" si="0"/>
        <v>167.49799999999999</v>
      </c>
      <c r="T9" s="20">
        <f t="shared" si="1"/>
        <v>4748.0420000000004</v>
      </c>
    </row>
    <row r="10" spans="1:26" s="41" customFormat="1" ht="21.75" customHeight="1" x14ac:dyDescent="0.7">
      <c r="A10" s="9">
        <v>8</v>
      </c>
      <c r="B10" s="10">
        <v>1008</v>
      </c>
      <c r="C10" s="11" t="s">
        <v>43</v>
      </c>
      <c r="D10" s="10" t="s">
        <v>147</v>
      </c>
      <c r="E10" s="55" t="s">
        <v>147</v>
      </c>
      <c r="F10" s="12"/>
      <c r="G10" s="13">
        <v>3033.31</v>
      </c>
      <c r="H10" s="14"/>
      <c r="I10" s="14">
        <v>1514.8000000000002</v>
      </c>
      <c r="J10" s="14">
        <v>0</v>
      </c>
      <c r="K10" s="14"/>
      <c r="L10" s="15"/>
      <c r="M10" s="16">
        <f t="shared" si="2"/>
        <v>4548.1100000000006</v>
      </c>
      <c r="N10" s="17">
        <v>151.66550000000001</v>
      </c>
      <c r="O10" s="18"/>
      <c r="P10" s="18"/>
      <c r="Q10" s="18">
        <v>0</v>
      </c>
      <c r="R10" s="18"/>
      <c r="S10" s="19">
        <f t="shared" si="0"/>
        <v>151.66550000000001</v>
      </c>
      <c r="T10" s="20">
        <f t="shared" si="1"/>
        <v>4396.4445000000005</v>
      </c>
    </row>
    <row r="11" spans="1:26" s="41" customFormat="1" ht="21.75" customHeight="1" x14ac:dyDescent="0.7">
      <c r="A11" s="9">
        <v>9</v>
      </c>
      <c r="B11" s="10">
        <v>1009</v>
      </c>
      <c r="C11" s="11" t="s">
        <v>44</v>
      </c>
      <c r="D11" s="10" t="s">
        <v>147</v>
      </c>
      <c r="E11" s="55" t="s">
        <v>147</v>
      </c>
      <c r="F11" s="12"/>
      <c r="G11" s="13">
        <v>4549.9666666666662</v>
      </c>
      <c r="H11" s="14"/>
      <c r="I11" s="14">
        <v>2164.0000000000005</v>
      </c>
      <c r="J11" s="14">
        <v>0</v>
      </c>
      <c r="K11" s="14"/>
      <c r="L11" s="15"/>
      <c r="M11" s="16">
        <f t="shared" si="2"/>
        <v>6713.9666666666672</v>
      </c>
      <c r="N11" s="17"/>
      <c r="O11" s="18"/>
      <c r="P11" s="18"/>
      <c r="Q11" s="18">
        <v>3000</v>
      </c>
      <c r="R11" s="18"/>
      <c r="S11" s="19">
        <f t="shared" si="0"/>
        <v>3000</v>
      </c>
      <c r="T11" s="20">
        <f t="shared" si="1"/>
        <v>3713.9666666666672</v>
      </c>
    </row>
    <row r="12" spans="1:26" s="41" customFormat="1" ht="21.75" customHeight="1" x14ac:dyDescent="0.7">
      <c r="A12" s="9">
        <v>10</v>
      </c>
      <c r="B12" s="10">
        <v>1010</v>
      </c>
      <c r="C12" s="11" t="s">
        <v>45</v>
      </c>
      <c r="D12" s="10" t="s">
        <v>147</v>
      </c>
      <c r="E12" s="55" t="s">
        <v>147</v>
      </c>
      <c r="F12" s="12"/>
      <c r="G12" s="13">
        <v>4799.9666666666662</v>
      </c>
      <c r="H12" s="14"/>
      <c r="I12" s="14">
        <v>2397.3300000000004</v>
      </c>
      <c r="J12" s="14">
        <v>0</v>
      </c>
      <c r="K12" s="14"/>
      <c r="L12" s="15"/>
      <c r="M12" s="16">
        <f t="shared" si="2"/>
        <v>7197.2966666666671</v>
      </c>
      <c r="N12" s="17"/>
      <c r="O12" s="18"/>
      <c r="P12" s="18"/>
      <c r="Q12" s="18">
        <v>0</v>
      </c>
      <c r="R12" s="18"/>
      <c r="S12" s="19">
        <f t="shared" si="0"/>
        <v>0</v>
      </c>
      <c r="T12" s="20">
        <f t="shared" si="1"/>
        <v>7197.2966666666671</v>
      </c>
    </row>
    <row r="13" spans="1:26" s="41" customFormat="1" ht="21.75" customHeight="1" x14ac:dyDescent="0.7">
      <c r="A13" s="9">
        <v>11</v>
      </c>
      <c r="B13" s="10">
        <v>1011</v>
      </c>
      <c r="C13" s="11" t="s">
        <v>46</v>
      </c>
      <c r="D13" s="10" t="s">
        <v>147</v>
      </c>
      <c r="E13" s="55" t="s">
        <v>147</v>
      </c>
      <c r="F13" s="12"/>
      <c r="G13" s="13">
        <v>1733.32</v>
      </c>
      <c r="H13" s="14"/>
      <c r="I13" s="14">
        <v>865.6</v>
      </c>
      <c r="J13" s="14">
        <v>0</v>
      </c>
      <c r="K13" s="14"/>
      <c r="L13" s="15"/>
      <c r="M13" s="16">
        <f t="shared" si="2"/>
        <v>2598.92</v>
      </c>
      <c r="N13" s="17">
        <v>86.665999999999997</v>
      </c>
      <c r="O13" s="18"/>
      <c r="P13" s="18"/>
      <c r="Q13" s="18">
        <v>0</v>
      </c>
      <c r="R13" s="18"/>
      <c r="S13" s="19">
        <f t="shared" si="0"/>
        <v>86.665999999999997</v>
      </c>
      <c r="T13" s="20">
        <f t="shared" si="1"/>
        <v>2512.2539999999999</v>
      </c>
    </row>
    <row r="14" spans="1:26" s="41" customFormat="1" ht="21.75" customHeight="1" x14ac:dyDescent="0.7">
      <c r="A14" s="9">
        <v>12</v>
      </c>
      <c r="B14" s="10">
        <v>1012</v>
      </c>
      <c r="C14" s="11" t="s">
        <v>47</v>
      </c>
      <c r="D14" s="10" t="s">
        <v>147</v>
      </c>
      <c r="E14" s="55" t="s">
        <v>147</v>
      </c>
      <c r="F14" s="12"/>
      <c r="G14" s="13">
        <v>5199.96</v>
      </c>
      <c r="H14" s="14"/>
      <c r="I14" s="14">
        <v>2380.4000000000005</v>
      </c>
      <c r="J14" s="14">
        <v>0</v>
      </c>
      <c r="K14" s="14"/>
      <c r="L14" s="15"/>
      <c r="M14" s="16">
        <f t="shared" si="2"/>
        <v>7580.3600000000006</v>
      </c>
      <c r="N14" s="17">
        <v>259.99799999999999</v>
      </c>
      <c r="O14" s="18"/>
      <c r="P14" s="18"/>
      <c r="Q14" s="18">
        <v>0</v>
      </c>
      <c r="R14" s="18"/>
      <c r="S14" s="19">
        <f t="shared" si="0"/>
        <v>259.99799999999999</v>
      </c>
      <c r="T14" s="20">
        <f t="shared" si="1"/>
        <v>7320.362000000001</v>
      </c>
    </row>
    <row r="15" spans="1:26" s="41" customFormat="1" ht="21.75" customHeight="1" x14ac:dyDescent="0.7">
      <c r="A15" s="9">
        <v>13</v>
      </c>
      <c r="B15" s="10">
        <v>1013</v>
      </c>
      <c r="C15" s="11" t="s">
        <v>48</v>
      </c>
      <c r="D15" s="10" t="s">
        <v>147</v>
      </c>
      <c r="E15" s="55" t="s">
        <v>147</v>
      </c>
      <c r="F15" s="12"/>
      <c r="G15" s="13">
        <v>5199.96</v>
      </c>
      <c r="H15" s="14"/>
      <c r="I15" s="14">
        <v>2380.4000000000005</v>
      </c>
      <c r="J15" s="14">
        <v>0</v>
      </c>
      <c r="K15" s="14"/>
      <c r="L15" s="15"/>
      <c r="M15" s="16">
        <f t="shared" si="2"/>
        <v>7580.3600000000006</v>
      </c>
      <c r="N15" s="17"/>
      <c r="O15" s="18"/>
      <c r="P15" s="18"/>
      <c r="Q15" s="18">
        <v>2000</v>
      </c>
      <c r="R15" s="18"/>
      <c r="S15" s="19">
        <f t="shared" si="0"/>
        <v>2000</v>
      </c>
      <c r="T15" s="20">
        <f t="shared" si="1"/>
        <v>5580.3600000000006</v>
      </c>
    </row>
    <row r="16" spans="1:26" s="41" customFormat="1" ht="21.75" customHeight="1" x14ac:dyDescent="0.7">
      <c r="A16" s="9">
        <v>14</v>
      </c>
      <c r="B16" s="10">
        <v>1014</v>
      </c>
      <c r="C16" s="11" t="s">
        <v>49</v>
      </c>
      <c r="D16" s="10" t="s">
        <v>147</v>
      </c>
      <c r="E16" s="55" t="s">
        <v>147</v>
      </c>
      <c r="F16" s="12"/>
      <c r="G16" s="13">
        <v>6066.62</v>
      </c>
      <c r="H16" s="14"/>
      <c r="I16" s="14">
        <v>3029.6000000000008</v>
      </c>
      <c r="J16" s="14">
        <v>3600</v>
      </c>
      <c r="K16" s="14"/>
      <c r="L16" s="15"/>
      <c r="M16" s="16">
        <f t="shared" si="2"/>
        <v>12696.220000000001</v>
      </c>
      <c r="N16" s="17">
        <v>303.33100000000002</v>
      </c>
      <c r="O16" s="18"/>
      <c r="P16" s="18"/>
      <c r="Q16" s="18">
        <v>3000</v>
      </c>
      <c r="R16" s="18"/>
      <c r="S16" s="19">
        <f t="shared" si="0"/>
        <v>3303.3310000000001</v>
      </c>
      <c r="T16" s="20">
        <f t="shared" si="1"/>
        <v>9392.889000000001</v>
      </c>
    </row>
    <row r="17" spans="1:20" s="41" customFormat="1" ht="21.75" customHeight="1" x14ac:dyDescent="0.7">
      <c r="A17" s="9">
        <v>15</v>
      </c>
      <c r="B17" s="10">
        <v>1015</v>
      </c>
      <c r="C17" s="11" t="s">
        <v>50</v>
      </c>
      <c r="D17" s="10" t="s">
        <v>147</v>
      </c>
      <c r="E17" s="55" t="s">
        <v>147</v>
      </c>
      <c r="F17" s="12"/>
      <c r="G17" s="13">
        <v>4284</v>
      </c>
      <c r="H17" s="14"/>
      <c r="I17" s="14">
        <v>2160</v>
      </c>
      <c r="J17" s="14">
        <v>0</v>
      </c>
      <c r="K17" s="14"/>
      <c r="L17" s="15"/>
      <c r="M17" s="16">
        <f t="shared" si="2"/>
        <v>6444</v>
      </c>
      <c r="N17" s="17">
        <v>214.20000000000002</v>
      </c>
      <c r="O17" s="18"/>
      <c r="P17" s="18"/>
      <c r="Q17" s="18">
        <v>0</v>
      </c>
      <c r="R17" s="18"/>
      <c r="S17" s="19">
        <f t="shared" si="0"/>
        <v>214.20000000000002</v>
      </c>
      <c r="T17" s="20">
        <f t="shared" si="1"/>
        <v>6229.8</v>
      </c>
    </row>
    <row r="18" spans="1:20" s="41" customFormat="1" ht="21.75" customHeight="1" x14ac:dyDescent="0.7">
      <c r="A18" s="9">
        <v>16</v>
      </c>
      <c r="B18" s="10">
        <v>1016</v>
      </c>
      <c r="C18" s="11" t="s">
        <v>51</v>
      </c>
      <c r="D18" s="10" t="s">
        <v>147</v>
      </c>
      <c r="E18" s="55" t="s">
        <v>147</v>
      </c>
      <c r="F18" s="12"/>
      <c r="G18" s="13">
        <v>4641</v>
      </c>
      <c r="H18" s="14"/>
      <c r="I18" s="14">
        <v>2340</v>
      </c>
      <c r="J18" s="14">
        <v>0</v>
      </c>
      <c r="K18" s="14"/>
      <c r="L18" s="15"/>
      <c r="M18" s="16">
        <f t="shared" si="2"/>
        <v>6981</v>
      </c>
      <c r="N18" s="17">
        <v>232.05</v>
      </c>
      <c r="O18" s="18"/>
      <c r="P18" s="18"/>
      <c r="Q18" s="18">
        <v>3000</v>
      </c>
      <c r="R18" s="18"/>
      <c r="S18" s="19">
        <f t="shared" si="0"/>
        <v>3232.05</v>
      </c>
      <c r="T18" s="20">
        <f t="shared" si="1"/>
        <v>3748.95</v>
      </c>
    </row>
    <row r="19" spans="1:20" s="41" customFormat="1" ht="21.75" customHeight="1" x14ac:dyDescent="0.7">
      <c r="A19" s="9">
        <v>17</v>
      </c>
      <c r="B19" s="10">
        <v>1017</v>
      </c>
      <c r="C19" s="11" t="s">
        <v>52</v>
      </c>
      <c r="D19" s="10" t="s">
        <v>147</v>
      </c>
      <c r="E19" s="55" t="s">
        <v>147</v>
      </c>
      <c r="F19" s="12"/>
      <c r="G19" s="13">
        <v>4998</v>
      </c>
      <c r="H19" s="14"/>
      <c r="I19" s="14">
        <v>2520</v>
      </c>
      <c r="J19" s="14">
        <v>0</v>
      </c>
      <c r="K19" s="14"/>
      <c r="L19" s="15"/>
      <c r="M19" s="16">
        <f t="shared" si="2"/>
        <v>7518</v>
      </c>
      <c r="N19" s="17">
        <v>249.9</v>
      </c>
      <c r="O19" s="18"/>
      <c r="P19" s="18"/>
      <c r="Q19" s="18">
        <v>3000</v>
      </c>
      <c r="R19" s="18"/>
      <c r="S19" s="19">
        <f t="shared" si="0"/>
        <v>3249.9</v>
      </c>
      <c r="T19" s="20">
        <f t="shared" si="1"/>
        <v>4268.1000000000004</v>
      </c>
    </row>
    <row r="20" spans="1:20" s="41" customFormat="1" ht="21.75" customHeight="1" x14ac:dyDescent="0.7">
      <c r="A20" s="9">
        <v>18</v>
      </c>
      <c r="B20" s="10">
        <v>1018</v>
      </c>
      <c r="C20" s="11" t="s">
        <v>53</v>
      </c>
      <c r="D20" s="10" t="s">
        <v>147</v>
      </c>
      <c r="E20" s="55" t="s">
        <v>147</v>
      </c>
      <c r="F20" s="12"/>
      <c r="G20" s="13">
        <v>4284</v>
      </c>
      <c r="H20" s="14"/>
      <c r="I20" s="14">
        <v>2160</v>
      </c>
      <c r="J20" s="14">
        <v>0</v>
      </c>
      <c r="K20" s="14"/>
      <c r="L20" s="15"/>
      <c r="M20" s="16">
        <f t="shared" si="2"/>
        <v>6444</v>
      </c>
      <c r="N20" s="17"/>
      <c r="O20" s="18"/>
      <c r="P20" s="18"/>
      <c r="Q20" s="18">
        <v>2000</v>
      </c>
      <c r="R20" s="18"/>
      <c r="S20" s="19">
        <f t="shared" si="0"/>
        <v>2000</v>
      </c>
      <c r="T20" s="20">
        <f t="shared" si="1"/>
        <v>4444</v>
      </c>
    </row>
    <row r="21" spans="1:20" s="41" customFormat="1" ht="21.75" customHeight="1" x14ac:dyDescent="0.7">
      <c r="A21" s="9">
        <v>19</v>
      </c>
      <c r="B21" s="10">
        <v>1019</v>
      </c>
      <c r="C21" s="11" t="s">
        <v>54</v>
      </c>
      <c r="D21" s="10" t="s">
        <v>147</v>
      </c>
      <c r="E21" s="55" t="s">
        <v>147</v>
      </c>
      <c r="F21" s="12"/>
      <c r="G21" s="13">
        <v>3570</v>
      </c>
      <c r="H21" s="14"/>
      <c r="I21" s="14">
        <v>1800</v>
      </c>
      <c r="J21" s="14">
        <v>185</v>
      </c>
      <c r="K21" s="14"/>
      <c r="L21" s="15"/>
      <c r="M21" s="16">
        <f t="shared" si="2"/>
        <v>5555</v>
      </c>
      <c r="N21" s="17">
        <v>178.5</v>
      </c>
      <c r="O21" s="18"/>
      <c r="P21" s="18"/>
      <c r="Q21" s="18">
        <v>3000</v>
      </c>
      <c r="R21" s="18"/>
      <c r="S21" s="19">
        <f t="shared" si="0"/>
        <v>3178.5</v>
      </c>
      <c r="T21" s="20">
        <f t="shared" si="1"/>
        <v>2376.5</v>
      </c>
    </row>
    <row r="22" spans="1:20" s="41" customFormat="1" ht="21.75" customHeight="1" x14ac:dyDescent="0.7">
      <c r="A22" s="9">
        <v>20</v>
      </c>
      <c r="B22" s="10">
        <v>1020</v>
      </c>
      <c r="C22" s="11" t="s">
        <v>55</v>
      </c>
      <c r="D22" s="10" t="s">
        <v>147</v>
      </c>
      <c r="E22" s="55" t="s">
        <v>147</v>
      </c>
      <c r="F22" s="12"/>
      <c r="G22" s="13">
        <v>3927</v>
      </c>
      <c r="H22" s="14"/>
      <c r="I22" s="14">
        <v>1980</v>
      </c>
      <c r="J22" s="14">
        <v>185</v>
      </c>
      <c r="K22" s="14"/>
      <c r="L22" s="15"/>
      <c r="M22" s="16">
        <f t="shared" si="2"/>
        <v>6092</v>
      </c>
      <c r="N22" s="17">
        <v>196.35000000000002</v>
      </c>
      <c r="O22" s="18"/>
      <c r="P22" s="18"/>
      <c r="Q22" s="18">
        <v>3000</v>
      </c>
      <c r="R22" s="18"/>
      <c r="S22" s="19">
        <f t="shared" si="0"/>
        <v>3196.35</v>
      </c>
      <c r="T22" s="20">
        <f t="shared" si="1"/>
        <v>2895.65</v>
      </c>
    </row>
    <row r="23" spans="1:20" s="41" customFormat="1" ht="21.75" customHeight="1" x14ac:dyDescent="0.7">
      <c r="A23" s="9">
        <v>21</v>
      </c>
      <c r="B23" s="10">
        <v>1021</v>
      </c>
      <c r="C23" s="11" t="s">
        <v>56</v>
      </c>
      <c r="D23" s="10" t="s">
        <v>147</v>
      </c>
      <c r="E23" s="55" t="s">
        <v>147</v>
      </c>
      <c r="F23" s="12"/>
      <c r="G23" s="13">
        <v>4642</v>
      </c>
      <c r="H23" s="14"/>
      <c r="I23" s="14">
        <v>2340</v>
      </c>
      <c r="J23" s="14">
        <v>537</v>
      </c>
      <c r="K23" s="14"/>
      <c r="L23" s="15"/>
      <c r="M23" s="16">
        <f t="shared" si="2"/>
        <v>7519</v>
      </c>
      <c r="N23" s="17"/>
      <c r="O23" s="18"/>
      <c r="P23" s="18"/>
      <c r="Q23" s="18">
        <v>3000</v>
      </c>
      <c r="R23" s="18"/>
      <c r="S23" s="19">
        <f t="shared" si="0"/>
        <v>3000</v>
      </c>
      <c r="T23" s="20">
        <f t="shared" si="1"/>
        <v>4519</v>
      </c>
    </row>
    <row r="24" spans="1:20" s="41" customFormat="1" ht="21.75" customHeight="1" x14ac:dyDescent="0.7">
      <c r="A24" s="9">
        <v>22</v>
      </c>
      <c r="B24" s="10">
        <v>1022</v>
      </c>
      <c r="C24" s="11" t="s">
        <v>57</v>
      </c>
      <c r="D24" s="10" t="s">
        <v>147</v>
      </c>
      <c r="E24" s="55" t="s">
        <v>147</v>
      </c>
      <c r="F24" s="12"/>
      <c r="G24" s="13">
        <v>4641</v>
      </c>
      <c r="H24" s="14"/>
      <c r="I24" s="14">
        <v>2340</v>
      </c>
      <c r="J24" s="14">
        <v>537</v>
      </c>
      <c r="K24" s="14"/>
      <c r="L24" s="15"/>
      <c r="M24" s="16">
        <f t="shared" si="2"/>
        <v>7518</v>
      </c>
      <c r="N24" s="17">
        <v>232.05</v>
      </c>
      <c r="O24" s="18"/>
      <c r="P24" s="18"/>
      <c r="Q24" s="18">
        <v>3000</v>
      </c>
      <c r="R24" s="18"/>
      <c r="S24" s="19">
        <f t="shared" si="0"/>
        <v>3232.05</v>
      </c>
      <c r="T24" s="20">
        <f t="shared" si="1"/>
        <v>4285.95</v>
      </c>
    </row>
    <row r="25" spans="1:20" s="41" customFormat="1" ht="21.75" customHeight="1" x14ac:dyDescent="0.7">
      <c r="A25" s="9">
        <v>23</v>
      </c>
      <c r="B25" s="10">
        <v>1023</v>
      </c>
      <c r="C25" s="11" t="s">
        <v>58</v>
      </c>
      <c r="D25" s="10" t="s">
        <v>147</v>
      </c>
      <c r="E25" s="55" t="s">
        <v>147</v>
      </c>
      <c r="F25" s="12"/>
      <c r="G25" s="13">
        <v>2499</v>
      </c>
      <c r="H25" s="14"/>
      <c r="I25" s="14">
        <v>1260</v>
      </c>
      <c r="J25" s="14">
        <v>150</v>
      </c>
      <c r="K25" s="14"/>
      <c r="L25" s="15"/>
      <c r="M25" s="16">
        <f t="shared" si="2"/>
        <v>3909</v>
      </c>
      <c r="N25" s="17">
        <v>124.95</v>
      </c>
      <c r="O25" s="18"/>
      <c r="P25" s="18"/>
      <c r="Q25" s="18">
        <v>0</v>
      </c>
      <c r="R25" s="18"/>
      <c r="S25" s="19">
        <f t="shared" si="0"/>
        <v>124.95</v>
      </c>
      <c r="T25" s="20">
        <f t="shared" si="1"/>
        <v>3784.05</v>
      </c>
    </row>
    <row r="26" spans="1:20" s="41" customFormat="1" ht="21.75" customHeight="1" x14ac:dyDescent="0.7">
      <c r="A26" s="9">
        <v>24</v>
      </c>
      <c r="B26" s="10">
        <v>1024</v>
      </c>
      <c r="C26" s="11" t="s">
        <v>59</v>
      </c>
      <c r="D26" s="10" t="s">
        <v>147</v>
      </c>
      <c r="E26" s="55" t="s">
        <v>147</v>
      </c>
      <c r="F26" s="12"/>
      <c r="G26" s="13">
        <v>4641</v>
      </c>
      <c r="H26" s="14"/>
      <c r="I26" s="14">
        <v>2340</v>
      </c>
      <c r="J26" s="14">
        <v>0</v>
      </c>
      <c r="K26" s="14"/>
      <c r="L26" s="15"/>
      <c r="M26" s="16">
        <f t="shared" si="2"/>
        <v>6981</v>
      </c>
      <c r="N26" s="17">
        <v>232.05</v>
      </c>
      <c r="O26" s="18"/>
      <c r="P26" s="18"/>
      <c r="Q26" s="18">
        <v>3000</v>
      </c>
      <c r="R26" s="18"/>
      <c r="S26" s="19">
        <f t="shared" si="0"/>
        <v>3232.05</v>
      </c>
      <c r="T26" s="20">
        <f t="shared" si="1"/>
        <v>3748.95</v>
      </c>
    </row>
    <row r="27" spans="1:20" s="41" customFormat="1" ht="21.75" customHeight="1" x14ac:dyDescent="0.7">
      <c r="A27" s="9">
        <v>25</v>
      </c>
      <c r="B27" s="10">
        <v>1025</v>
      </c>
      <c r="C27" s="11" t="s">
        <v>60</v>
      </c>
      <c r="D27" s="10" t="s">
        <v>147</v>
      </c>
      <c r="E27" s="55" t="s">
        <v>147</v>
      </c>
      <c r="F27" s="12"/>
      <c r="G27" s="13">
        <v>4641</v>
      </c>
      <c r="H27" s="14"/>
      <c r="I27" s="14">
        <v>2340</v>
      </c>
      <c r="J27" s="14">
        <v>0</v>
      </c>
      <c r="K27" s="14"/>
      <c r="L27" s="15"/>
      <c r="M27" s="16">
        <f t="shared" si="2"/>
        <v>6981</v>
      </c>
      <c r="N27" s="17">
        <v>232.05</v>
      </c>
      <c r="O27" s="18"/>
      <c r="P27" s="18"/>
      <c r="Q27" s="18">
        <v>3000</v>
      </c>
      <c r="R27" s="18"/>
      <c r="S27" s="19">
        <f t="shared" si="0"/>
        <v>3232.05</v>
      </c>
      <c r="T27" s="20">
        <f t="shared" si="1"/>
        <v>3748.95</v>
      </c>
    </row>
    <row r="28" spans="1:20" s="41" customFormat="1" ht="21.75" customHeight="1" x14ac:dyDescent="0.7">
      <c r="A28" s="9">
        <v>26</v>
      </c>
      <c r="B28" s="10">
        <v>1026</v>
      </c>
      <c r="C28" s="11" t="s">
        <v>61</v>
      </c>
      <c r="D28" s="10" t="s">
        <v>147</v>
      </c>
      <c r="E28" s="55" t="s">
        <v>147</v>
      </c>
      <c r="F28" s="12"/>
      <c r="G28" s="13">
        <v>1071</v>
      </c>
      <c r="H28" s="14"/>
      <c r="I28" s="14">
        <v>540</v>
      </c>
      <c r="J28" s="14">
        <v>0</v>
      </c>
      <c r="K28" s="14"/>
      <c r="L28" s="15"/>
      <c r="M28" s="16">
        <f t="shared" si="2"/>
        <v>1611</v>
      </c>
      <c r="N28" s="17"/>
      <c r="O28" s="18"/>
      <c r="P28" s="18"/>
      <c r="Q28" s="18">
        <v>0</v>
      </c>
      <c r="R28" s="18"/>
      <c r="S28" s="19">
        <f t="shared" si="0"/>
        <v>0</v>
      </c>
      <c r="T28" s="20">
        <f t="shared" si="1"/>
        <v>1611</v>
      </c>
    </row>
    <row r="29" spans="1:20" s="41" customFormat="1" ht="21.75" customHeight="1" x14ac:dyDescent="0.7">
      <c r="A29" s="9">
        <v>27</v>
      </c>
      <c r="B29" s="10">
        <v>1027</v>
      </c>
      <c r="C29" s="11" t="s">
        <v>62</v>
      </c>
      <c r="D29" s="10" t="s">
        <v>147</v>
      </c>
      <c r="E29" s="55" t="s">
        <v>147</v>
      </c>
      <c r="F29" s="12"/>
      <c r="G29" s="13">
        <v>0</v>
      </c>
      <c r="H29" s="14"/>
      <c r="I29" s="14">
        <v>0</v>
      </c>
      <c r="J29" s="14">
        <v>0</v>
      </c>
      <c r="K29" s="14"/>
      <c r="L29" s="15"/>
      <c r="M29" s="16">
        <f t="shared" si="2"/>
        <v>0</v>
      </c>
      <c r="N29" s="17"/>
      <c r="O29" s="18"/>
      <c r="P29" s="18"/>
      <c r="Q29" s="18">
        <v>0</v>
      </c>
      <c r="R29" s="18"/>
      <c r="S29" s="19">
        <f t="shared" si="0"/>
        <v>0</v>
      </c>
      <c r="T29" s="20">
        <f t="shared" si="1"/>
        <v>0</v>
      </c>
    </row>
    <row r="30" spans="1:20" s="41" customFormat="1" ht="21.75" customHeight="1" x14ac:dyDescent="0.7">
      <c r="A30" s="9">
        <v>28</v>
      </c>
      <c r="B30" s="10">
        <v>1028</v>
      </c>
      <c r="C30" s="11" t="s">
        <v>63</v>
      </c>
      <c r="D30" s="10" t="s">
        <v>147</v>
      </c>
      <c r="E30" s="55" t="s">
        <v>147</v>
      </c>
      <c r="F30" s="12"/>
      <c r="G30" s="13">
        <v>0</v>
      </c>
      <c r="H30" s="14"/>
      <c r="I30" s="14">
        <v>0</v>
      </c>
      <c r="J30" s="14">
        <v>0</v>
      </c>
      <c r="K30" s="14"/>
      <c r="L30" s="15"/>
      <c r="M30" s="16">
        <f t="shared" si="2"/>
        <v>0</v>
      </c>
      <c r="N30" s="17"/>
      <c r="O30" s="18"/>
      <c r="P30" s="18"/>
      <c r="Q30" s="18">
        <v>0</v>
      </c>
      <c r="R30" s="18"/>
      <c r="S30" s="19">
        <f t="shared" si="0"/>
        <v>0</v>
      </c>
      <c r="T30" s="20">
        <f t="shared" si="1"/>
        <v>0</v>
      </c>
    </row>
    <row r="31" spans="1:20" s="41" customFormat="1" ht="21.75" customHeight="1" x14ac:dyDescent="0.7">
      <c r="A31" s="9">
        <v>29</v>
      </c>
      <c r="B31" s="10">
        <v>1029</v>
      </c>
      <c r="C31" s="11" t="s">
        <v>64</v>
      </c>
      <c r="D31" s="10" t="s">
        <v>147</v>
      </c>
      <c r="E31" s="55" t="s">
        <v>147</v>
      </c>
      <c r="F31" s="12"/>
      <c r="G31" s="13">
        <v>3570</v>
      </c>
      <c r="H31" s="14"/>
      <c r="I31" s="14">
        <v>1800</v>
      </c>
      <c r="J31" s="14">
        <v>0</v>
      </c>
      <c r="K31" s="14"/>
      <c r="L31" s="15"/>
      <c r="M31" s="16">
        <f t="shared" si="2"/>
        <v>5370</v>
      </c>
      <c r="N31" s="17"/>
      <c r="O31" s="18"/>
      <c r="P31" s="18"/>
      <c r="Q31" s="18">
        <v>0</v>
      </c>
      <c r="R31" s="18"/>
      <c r="S31" s="19">
        <f t="shared" si="0"/>
        <v>0</v>
      </c>
      <c r="T31" s="20">
        <f t="shared" si="1"/>
        <v>5370</v>
      </c>
    </row>
    <row r="32" spans="1:20" s="41" customFormat="1" ht="21.75" customHeight="1" x14ac:dyDescent="0.7">
      <c r="A32" s="9">
        <v>30</v>
      </c>
      <c r="B32" s="10">
        <v>1030</v>
      </c>
      <c r="C32" s="11" t="s">
        <v>65</v>
      </c>
      <c r="D32" s="10" t="s">
        <v>147</v>
      </c>
      <c r="E32" s="55" t="s">
        <v>147</v>
      </c>
      <c r="F32" s="12"/>
      <c r="G32" s="13">
        <v>4998</v>
      </c>
      <c r="H32" s="14"/>
      <c r="I32" s="14">
        <v>2520</v>
      </c>
      <c r="J32" s="14">
        <v>13</v>
      </c>
      <c r="K32" s="14"/>
      <c r="L32" s="15"/>
      <c r="M32" s="16">
        <f t="shared" si="2"/>
        <v>7531</v>
      </c>
      <c r="N32" s="17"/>
      <c r="O32" s="18"/>
      <c r="P32" s="18"/>
      <c r="Q32" s="18">
        <v>0</v>
      </c>
      <c r="R32" s="18"/>
      <c r="S32" s="19">
        <f t="shared" si="0"/>
        <v>0</v>
      </c>
      <c r="T32" s="20">
        <f t="shared" si="1"/>
        <v>7531</v>
      </c>
    </row>
    <row r="33" spans="1:20" s="41" customFormat="1" ht="21.75" customHeight="1" x14ac:dyDescent="0.7">
      <c r="A33" s="9">
        <v>31</v>
      </c>
      <c r="B33" s="10">
        <v>1031</v>
      </c>
      <c r="C33" s="11" t="s">
        <v>66</v>
      </c>
      <c r="D33" s="10" t="s">
        <v>147</v>
      </c>
      <c r="E33" s="55" t="s">
        <v>147</v>
      </c>
      <c r="F33" s="12"/>
      <c r="G33" s="13">
        <v>3570</v>
      </c>
      <c r="H33" s="14"/>
      <c r="I33" s="14">
        <v>1800</v>
      </c>
      <c r="J33" s="14">
        <v>0</v>
      </c>
      <c r="K33" s="14"/>
      <c r="L33" s="15"/>
      <c r="M33" s="16">
        <f t="shared" si="2"/>
        <v>5370</v>
      </c>
      <c r="N33" s="17"/>
      <c r="O33" s="18"/>
      <c r="P33" s="18"/>
      <c r="Q33" s="18">
        <v>2500</v>
      </c>
      <c r="R33" s="18"/>
      <c r="S33" s="19">
        <f t="shared" si="0"/>
        <v>2500</v>
      </c>
      <c r="T33" s="20">
        <f t="shared" si="1"/>
        <v>2870</v>
      </c>
    </row>
    <row r="34" spans="1:20" s="41" customFormat="1" ht="21.75" customHeight="1" x14ac:dyDescent="0.7">
      <c r="A34" s="9">
        <v>32</v>
      </c>
      <c r="B34" s="10">
        <v>1032</v>
      </c>
      <c r="C34" s="11" t="s">
        <v>67</v>
      </c>
      <c r="D34" s="10" t="s">
        <v>147</v>
      </c>
      <c r="E34" s="55" t="s">
        <v>147</v>
      </c>
      <c r="F34" s="12"/>
      <c r="G34" s="13">
        <v>4998</v>
      </c>
      <c r="H34" s="14"/>
      <c r="I34" s="14">
        <v>2520</v>
      </c>
      <c r="J34" s="14">
        <v>0</v>
      </c>
      <c r="K34" s="14"/>
      <c r="L34" s="15"/>
      <c r="M34" s="16">
        <f t="shared" si="2"/>
        <v>7518</v>
      </c>
      <c r="N34" s="17">
        <v>249.9</v>
      </c>
      <c r="O34" s="18"/>
      <c r="P34" s="18"/>
      <c r="Q34" s="18">
        <v>3000</v>
      </c>
      <c r="R34" s="18"/>
      <c r="S34" s="19">
        <f t="shared" si="0"/>
        <v>3249.9</v>
      </c>
      <c r="T34" s="20">
        <f t="shared" si="1"/>
        <v>4268.1000000000004</v>
      </c>
    </row>
    <row r="35" spans="1:20" s="41" customFormat="1" ht="21.75" customHeight="1" x14ac:dyDescent="0.7">
      <c r="A35" s="9">
        <v>33</v>
      </c>
      <c r="B35" s="10">
        <v>1033</v>
      </c>
      <c r="C35" s="11" t="s">
        <v>68</v>
      </c>
      <c r="D35" s="10" t="s">
        <v>147</v>
      </c>
      <c r="E35" s="55" t="s">
        <v>147</v>
      </c>
      <c r="F35" s="12"/>
      <c r="G35" s="13">
        <v>4284</v>
      </c>
      <c r="H35" s="14"/>
      <c r="I35" s="14">
        <v>2160</v>
      </c>
      <c r="J35" s="14">
        <v>537</v>
      </c>
      <c r="K35" s="14"/>
      <c r="L35" s="15"/>
      <c r="M35" s="16">
        <f t="shared" si="2"/>
        <v>6981</v>
      </c>
      <c r="N35" s="17">
        <v>214.20000000000002</v>
      </c>
      <c r="O35" s="18"/>
      <c r="P35" s="18"/>
      <c r="Q35" s="18">
        <v>3000</v>
      </c>
      <c r="R35" s="18"/>
      <c r="S35" s="19">
        <f t="shared" si="0"/>
        <v>3214.2</v>
      </c>
      <c r="T35" s="20">
        <f t="shared" si="1"/>
        <v>3766.8</v>
      </c>
    </row>
    <row r="36" spans="1:20" s="41" customFormat="1" ht="21.75" customHeight="1" x14ac:dyDescent="0.7">
      <c r="A36" s="9">
        <v>34</v>
      </c>
      <c r="B36" s="10">
        <v>1034</v>
      </c>
      <c r="C36" s="11" t="s">
        <v>69</v>
      </c>
      <c r="D36" s="10" t="s">
        <v>147</v>
      </c>
      <c r="E36" s="55" t="s">
        <v>147</v>
      </c>
      <c r="F36" s="12"/>
      <c r="G36" s="13">
        <v>0</v>
      </c>
      <c r="H36" s="14"/>
      <c r="I36" s="14">
        <v>0</v>
      </c>
      <c r="J36" s="14">
        <v>0</v>
      </c>
      <c r="K36" s="14"/>
      <c r="L36" s="15"/>
      <c r="M36" s="16">
        <f t="shared" si="2"/>
        <v>0</v>
      </c>
      <c r="N36" s="17">
        <v>0</v>
      </c>
      <c r="O36" s="18"/>
      <c r="P36" s="18"/>
      <c r="Q36" s="18">
        <v>0</v>
      </c>
      <c r="R36" s="18"/>
      <c r="S36" s="19">
        <f t="shared" si="0"/>
        <v>0</v>
      </c>
      <c r="T36" s="20">
        <f t="shared" si="1"/>
        <v>0</v>
      </c>
    </row>
    <row r="37" spans="1:20" s="41" customFormat="1" ht="21.75" customHeight="1" x14ac:dyDescent="0.7">
      <c r="A37" s="9">
        <v>35</v>
      </c>
      <c r="B37" s="10">
        <v>1035</v>
      </c>
      <c r="C37" s="11" t="s">
        <v>70</v>
      </c>
      <c r="D37" s="10" t="s">
        <v>147</v>
      </c>
      <c r="E37" s="55" t="s">
        <v>147</v>
      </c>
      <c r="F37" s="12"/>
      <c r="G37" s="13">
        <v>0</v>
      </c>
      <c r="H37" s="14"/>
      <c r="I37" s="14">
        <v>0</v>
      </c>
      <c r="J37" s="14">
        <v>0</v>
      </c>
      <c r="K37" s="14"/>
      <c r="L37" s="15"/>
      <c r="M37" s="16">
        <f t="shared" si="2"/>
        <v>0</v>
      </c>
      <c r="N37" s="17">
        <v>0</v>
      </c>
      <c r="O37" s="18"/>
      <c r="P37" s="18"/>
      <c r="Q37" s="18">
        <v>0</v>
      </c>
      <c r="R37" s="18"/>
      <c r="S37" s="19">
        <f t="shared" si="0"/>
        <v>0</v>
      </c>
      <c r="T37" s="20">
        <f t="shared" si="1"/>
        <v>0</v>
      </c>
    </row>
    <row r="38" spans="1:20" s="41" customFormat="1" ht="21.75" customHeight="1" x14ac:dyDescent="0.7">
      <c r="A38" s="9">
        <v>36</v>
      </c>
      <c r="B38" s="10">
        <v>1036</v>
      </c>
      <c r="C38" s="11" t="s">
        <v>71</v>
      </c>
      <c r="D38" s="10" t="s">
        <v>147</v>
      </c>
      <c r="E38" s="55" t="s">
        <v>147</v>
      </c>
      <c r="F38" s="12"/>
      <c r="G38" s="13">
        <v>3945</v>
      </c>
      <c r="H38" s="14"/>
      <c r="I38" s="14">
        <v>1980</v>
      </c>
      <c r="J38" s="14">
        <v>0</v>
      </c>
      <c r="K38" s="14"/>
      <c r="L38" s="15"/>
      <c r="M38" s="16">
        <f t="shared" si="2"/>
        <v>5925</v>
      </c>
      <c r="N38" s="17">
        <v>197.25</v>
      </c>
      <c r="O38" s="18"/>
      <c r="P38" s="18"/>
      <c r="Q38" s="18">
        <v>3000</v>
      </c>
      <c r="R38" s="18"/>
      <c r="S38" s="19">
        <f t="shared" si="0"/>
        <v>3197.25</v>
      </c>
      <c r="T38" s="20">
        <f t="shared" si="1"/>
        <v>2727.75</v>
      </c>
    </row>
    <row r="39" spans="1:20" s="41" customFormat="1" ht="21.75" customHeight="1" x14ac:dyDescent="0.7">
      <c r="A39" s="9">
        <v>37</v>
      </c>
      <c r="B39" s="10">
        <v>1037</v>
      </c>
      <c r="C39" s="11" t="s">
        <v>72</v>
      </c>
      <c r="D39" s="10" t="s">
        <v>147</v>
      </c>
      <c r="E39" s="55" t="s">
        <v>147</v>
      </c>
      <c r="F39" s="12"/>
      <c r="G39" s="13">
        <v>3927</v>
      </c>
      <c r="H39" s="14"/>
      <c r="I39" s="14">
        <v>1980</v>
      </c>
      <c r="J39" s="14">
        <v>0</v>
      </c>
      <c r="K39" s="14"/>
      <c r="L39" s="15"/>
      <c r="M39" s="16">
        <f t="shared" si="2"/>
        <v>5907</v>
      </c>
      <c r="N39" s="17"/>
      <c r="O39" s="18"/>
      <c r="P39" s="18"/>
      <c r="Q39" s="18">
        <v>3000</v>
      </c>
      <c r="R39" s="18"/>
      <c r="S39" s="19">
        <f t="shared" si="0"/>
        <v>3000</v>
      </c>
      <c r="T39" s="20">
        <f t="shared" si="1"/>
        <v>2907</v>
      </c>
    </row>
    <row r="40" spans="1:20" s="41" customFormat="1" ht="21.75" customHeight="1" x14ac:dyDescent="0.7">
      <c r="A40" s="9">
        <v>38</v>
      </c>
      <c r="B40" s="10">
        <v>1038</v>
      </c>
      <c r="C40" s="11" t="s">
        <v>73</v>
      </c>
      <c r="D40" s="10" t="s">
        <v>147</v>
      </c>
      <c r="E40" s="55" t="s">
        <v>147</v>
      </c>
      <c r="F40" s="12"/>
      <c r="G40" s="13">
        <v>4998</v>
      </c>
      <c r="H40" s="14"/>
      <c r="I40" s="14">
        <v>2520</v>
      </c>
      <c r="J40" s="14">
        <v>240</v>
      </c>
      <c r="K40" s="14"/>
      <c r="L40" s="15"/>
      <c r="M40" s="16">
        <f t="shared" si="2"/>
        <v>7758</v>
      </c>
      <c r="N40" s="17">
        <v>249.9</v>
      </c>
      <c r="O40" s="18"/>
      <c r="P40" s="18"/>
      <c r="Q40" s="18">
        <v>0</v>
      </c>
      <c r="R40" s="18"/>
      <c r="S40" s="19">
        <f t="shared" si="0"/>
        <v>249.9</v>
      </c>
      <c r="T40" s="20">
        <f t="shared" si="1"/>
        <v>7508.1</v>
      </c>
    </row>
    <row r="41" spans="1:20" s="41" customFormat="1" ht="21.75" customHeight="1" x14ac:dyDescent="0.7">
      <c r="A41" s="9">
        <v>39</v>
      </c>
      <c r="B41" s="10">
        <v>1039</v>
      </c>
      <c r="C41" s="11" t="s">
        <v>74</v>
      </c>
      <c r="D41" s="10" t="s">
        <v>147</v>
      </c>
      <c r="E41" s="55" t="s">
        <v>147</v>
      </c>
      <c r="F41" s="12"/>
      <c r="G41" s="13">
        <v>4998</v>
      </c>
      <c r="H41" s="14"/>
      <c r="I41" s="14">
        <v>2340</v>
      </c>
      <c r="J41" s="14">
        <v>0</v>
      </c>
      <c r="K41" s="14"/>
      <c r="L41" s="15"/>
      <c r="M41" s="16">
        <f t="shared" si="2"/>
        <v>7338</v>
      </c>
      <c r="N41" s="17">
        <v>249.9</v>
      </c>
      <c r="O41" s="18"/>
      <c r="P41" s="18"/>
      <c r="Q41" s="18">
        <v>2000</v>
      </c>
      <c r="R41" s="18"/>
      <c r="S41" s="19">
        <f t="shared" si="0"/>
        <v>2249.9</v>
      </c>
      <c r="T41" s="20">
        <f t="shared" si="1"/>
        <v>5088.1000000000004</v>
      </c>
    </row>
    <row r="42" spans="1:20" s="41" customFormat="1" ht="21.75" customHeight="1" x14ac:dyDescent="0.7">
      <c r="A42" s="9">
        <v>40</v>
      </c>
      <c r="B42" s="10">
        <v>1040</v>
      </c>
      <c r="C42" s="11" t="s">
        <v>75</v>
      </c>
      <c r="D42" s="10" t="s">
        <v>147</v>
      </c>
      <c r="E42" s="55" t="s">
        <v>147</v>
      </c>
      <c r="F42" s="12"/>
      <c r="G42" s="13">
        <v>4641</v>
      </c>
      <c r="H42" s="14"/>
      <c r="I42" s="14">
        <v>2340</v>
      </c>
      <c r="J42" s="14">
        <v>210</v>
      </c>
      <c r="K42" s="14"/>
      <c r="L42" s="15"/>
      <c r="M42" s="16">
        <f t="shared" si="2"/>
        <v>7191</v>
      </c>
      <c r="N42" s="17"/>
      <c r="O42" s="18"/>
      <c r="P42" s="18"/>
      <c r="Q42" s="18">
        <v>0</v>
      </c>
      <c r="R42" s="18"/>
      <c r="S42" s="19">
        <f t="shared" si="0"/>
        <v>0</v>
      </c>
      <c r="T42" s="20">
        <f t="shared" si="1"/>
        <v>7191</v>
      </c>
    </row>
    <row r="43" spans="1:20" s="41" customFormat="1" ht="21.75" customHeight="1" x14ac:dyDescent="0.7">
      <c r="A43" s="9">
        <v>41</v>
      </c>
      <c r="B43" s="10">
        <v>1041</v>
      </c>
      <c r="C43" s="11" t="s">
        <v>76</v>
      </c>
      <c r="D43" s="10" t="s">
        <v>147</v>
      </c>
      <c r="E43" s="55" t="s">
        <v>147</v>
      </c>
      <c r="F43" s="12"/>
      <c r="G43" s="13">
        <v>4284</v>
      </c>
      <c r="H43" s="14"/>
      <c r="I43" s="14">
        <v>2160</v>
      </c>
      <c r="J43" s="14">
        <v>0</v>
      </c>
      <c r="K43" s="14"/>
      <c r="L43" s="15"/>
      <c r="M43" s="16">
        <f t="shared" si="2"/>
        <v>6444</v>
      </c>
      <c r="N43" s="17">
        <v>214.20000000000002</v>
      </c>
      <c r="O43" s="18"/>
      <c r="P43" s="18"/>
      <c r="Q43" s="18">
        <v>3000</v>
      </c>
      <c r="R43" s="18"/>
      <c r="S43" s="19">
        <f t="shared" si="0"/>
        <v>3214.2</v>
      </c>
      <c r="T43" s="20">
        <f t="shared" si="1"/>
        <v>3229.8</v>
      </c>
    </row>
    <row r="44" spans="1:20" s="41" customFormat="1" ht="21.75" customHeight="1" x14ac:dyDescent="0.7">
      <c r="A44" s="9">
        <v>42</v>
      </c>
      <c r="B44" s="10">
        <v>1042</v>
      </c>
      <c r="C44" s="11" t="s">
        <v>77</v>
      </c>
      <c r="D44" s="10" t="s">
        <v>147</v>
      </c>
      <c r="E44" s="55" t="s">
        <v>147</v>
      </c>
      <c r="F44" s="12"/>
      <c r="G44" s="13">
        <v>4641</v>
      </c>
      <c r="H44" s="14"/>
      <c r="I44" s="14">
        <v>2340</v>
      </c>
      <c r="J44" s="14">
        <v>0</v>
      </c>
      <c r="K44" s="14"/>
      <c r="L44" s="15"/>
      <c r="M44" s="16">
        <f t="shared" si="2"/>
        <v>6981</v>
      </c>
      <c r="N44" s="17"/>
      <c r="O44" s="18"/>
      <c r="P44" s="18"/>
      <c r="Q44" s="18">
        <v>3000</v>
      </c>
      <c r="R44" s="18"/>
      <c r="S44" s="19">
        <f t="shared" si="0"/>
        <v>3000</v>
      </c>
      <c r="T44" s="20">
        <f t="shared" si="1"/>
        <v>3981</v>
      </c>
    </row>
    <row r="45" spans="1:20" s="41" customFormat="1" ht="21.75" customHeight="1" x14ac:dyDescent="0.7">
      <c r="A45" s="9">
        <v>43</v>
      </c>
      <c r="B45" s="10">
        <v>1043</v>
      </c>
      <c r="C45" s="11" t="s">
        <v>78</v>
      </c>
      <c r="D45" s="10" t="s">
        <v>147</v>
      </c>
      <c r="E45" s="55" t="s">
        <v>147</v>
      </c>
      <c r="F45" s="12"/>
      <c r="G45" s="13">
        <v>4641</v>
      </c>
      <c r="H45" s="14"/>
      <c r="I45" s="14">
        <v>2340</v>
      </c>
      <c r="J45" s="14">
        <v>0</v>
      </c>
      <c r="K45" s="14"/>
      <c r="L45" s="15"/>
      <c r="M45" s="16">
        <f t="shared" si="2"/>
        <v>6981</v>
      </c>
      <c r="N45" s="17"/>
      <c r="O45" s="18"/>
      <c r="P45" s="18"/>
      <c r="Q45" s="18">
        <v>0</v>
      </c>
      <c r="R45" s="18"/>
      <c r="S45" s="19">
        <f t="shared" si="0"/>
        <v>0</v>
      </c>
      <c r="T45" s="20">
        <f t="shared" si="1"/>
        <v>6981</v>
      </c>
    </row>
    <row r="46" spans="1:20" s="41" customFormat="1" ht="21.75" customHeight="1" x14ac:dyDescent="0.7">
      <c r="A46" s="9">
        <v>44</v>
      </c>
      <c r="B46" s="10">
        <v>1046</v>
      </c>
      <c r="C46" s="11" t="s">
        <v>79</v>
      </c>
      <c r="D46" s="10" t="s">
        <v>147</v>
      </c>
      <c r="E46" s="55" t="s">
        <v>147</v>
      </c>
      <c r="F46" s="12"/>
      <c r="G46" s="13">
        <v>0</v>
      </c>
      <c r="H46" s="14"/>
      <c r="I46" s="14">
        <v>0</v>
      </c>
      <c r="J46" s="14">
        <v>0</v>
      </c>
      <c r="K46" s="14"/>
      <c r="L46" s="15"/>
      <c r="M46" s="16">
        <f t="shared" si="2"/>
        <v>0</v>
      </c>
      <c r="N46" s="17">
        <v>0</v>
      </c>
      <c r="O46" s="18"/>
      <c r="P46" s="18"/>
      <c r="Q46" s="18">
        <v>0</v>
      </c>
      <c r="R46" s="18"/>
      <c r="S46" s="19">
        <f t="shared" si="0"/>
        <v>0</v>
      </c>
      <c r="T46" s="20">
        <f t="shared" si="1"/>
        <v>0</v>
      </c>
    </row>
    <row r="47" spans="1:20" s="41" customFormat="1" ht="21.75" customHeight="1" x14ac:dyDescent="0.7">
      <c r="A47" s="9">
        <v>45</v>
      </c>
      <c r="B47" s="10">
        <v>1047</v>
      </c>
      <c r="C47" s="11" t="s">
        <v>80</v>
      </c>
      <c r="D47" s="10" t="s">
        <v>147</v>
      </c>
      <c r="E47" s="55" t="s">
        <v>147</v>
      </c>
      <c r="F47" s="12"/>
      <c r="G47" s="13">
        <v>3927</v>
      </c>
      <c r="H47" s="14"/>
      <c r="I47" s="14">
        <v>1980</v>
      </c>
      <c r="J47" s="14">
        <v>0</v>
      </c>
      <c r="K47" s="14"/>
      <c r="L47" s="15"/>
      <c r="M47" s="16">
        <f t="shared" si="2"/>
        <v>5907</v>
      </c>
      <c r="N47" s="17">
        <v>196.35000000000002</v>
      </c>
      <c r="O47" s="18"/>
      <c r="P47" s="18"/>
      <c r="Q47" s="18">
        <v>0</v>
      </c>
      <c r="R47" s="18"/>
      <c r="S47" s="19">
        <f t="shared" si="0"/>
        <v>196.35000000000002</v>
      </c>
      <c r="T47" s="20">
        <f t="shared" si="1"/>
        <v>5710.65</v>
      </c>
    </row>
    <row r="48" spans="1:20" s="41" customFormat="1" ht="21.75" customHeight="1" x14ac:dyDescent="0.7">
      <c r="A48" s="9">
        <v>46</v>
      </c>
      <c r="B48" s="10">
        <v>1048</v>
      </c>
      <c r="C48" s="11" t="s">
        <v>81</v>
      </c>
      <c r="D48" s="10" t="s">
        <v>147</v>
      </c>
      <c r="E48" s="55" t="s">
        <v>147</v>
      </c>
      <c r="F48" s="12"/>
      <c r="G48" s="13">
        <v>1071</v>
      </c>
      <c r="H48" s="14"/>
      <c r="I48" s="14">
        <v>540</v>
      </c>
      <c r="J48" s="14">
        <v>0</v>
      </c>
      <c r="K48" s="14"/>
      <c r="L48" s="15"/>
      <c r="M48" s="16">
        <f t="shared" si="2"/>
        <v>1611</v>
      </c>
      <c r="N48" s="17">
        <v>53.550000000000004</v>
      </c>
      <c r="O48" s="18"/>
      <c r="P48" s="18"/>
      <c r="Q48" s="18">
        <v>0</v>
      </c>
      <c r="R48" s="18"/>
      <c r="S48" s="19">
        <f t="shared" si="0"/>
        <v>53.550000000000004</v>
      </c>
      <c r="T48" s="20">
        <f t="shared" si="1"/>
        <v>1557.45</v>
      </c>
    </row>
    <row r="49" spans="1:20" s="41" customFormat="1" ht="21.75" customHeight="1" x14ac:dyDescent="0.7">
      <c r="A49" s="9">
        <v>47</v>
      </c>
      <c r="B49" s="10">
        <v>1049</v>
      </c>
      <c r="C49" s="11" t="s">
        <v>82</v>
      </c>
      <c r="D49" s="10" t="s">
        <v>147</v>
      </c>
      <c r="E49" s="55" t="s">
        <v>147</v>
      </c>
      <c r="F49" s="12"/>
      <c r="G49" s="13">
        <v>4641</v>
      </c>
      <c r="H49" s="14"/>
      <c r="I49" s="14">
        <v>2340</v>
      </c>
      <c r="J49" s="14">
        <v>0</v>
      </c>
      <c r="K49" s="14"/>
      <c r="L49" s="15"/>
      <c r="M49" s="16">
        <f t="shared" si="2"/>
        <v>6981</v>
      </c>
      <c r="N49" s="17">
        <v>232.05</v>
      </c>
      <c r="O49" s="18"/>
      <c r="P49" s="18"/>
      <c r="Q49" s="18">
        <v>0</v>
      </c>
      <c r="R49" s="18"/>
      <c r="S49" s="19">
        <f t="shared" si="0"/>
        <v>232.05</v>
      </c>
      <c r="T49" s="20">
        <f t="shared" si="1"/>
        <v>6748.95</v>
      </c>
    </row>
    <row r="50" spans="1:20" s="41" customFormat="1" ht="21.75" customHeight="1" x14ac:dyDescent="0.7">
      <c r="A50" s="9">
        <v>48</v>
      </c>
      <c r="B50" s="10">
        <v>1050</v>
      </c>
      <c r="C50" s="11" t="s">
        <v>83</v>
      </c>
      <c r="D50" s="10" t="s">
        <v>147</v>
      </c>
      <c r="E50" s="55" t="s">
        <v>147</v>
      </c>
      <c r="F50" s="12"/>
      <c r="G50" s="13">
        <v>4998</v>
      </c>
      <c r="H50" s="14"/>
      <c r="I50" s="14">
        <v>2520</v>
      </c>
      <c r="J50" s="14">
        <v>0</v>
      </c>
      <c r="K50" s="14"/>
      <c r="L50" s="15"/>
      <c r="M50" s="16">
        <f t="shared" si="2"/>
        <v>7518</v>
      </c>
      <c r="N50" s="17"/>
      <c r="O50" s="18"/>
      <c r="P50" s="18"/>
      <c r="Q50" s="18">
        <v>3000</v>
      </c>
      <c r="R50" s="18"/>
      <c r="S50" s="19">
        <f t="shared" si="0"/>
        <v>3000</v>
      </c>
      <c r="T50" s="20">
        <f t="shared" si="1"/>
        <v>4518</v>
      </c>
    </row>
    <row r="51" spans="1:20" s="41" customFormat="1" ht="21.75" customHeight="1" x14ac:dyDescent="0.7">
      <c r="A51" s="9">
        <v>49</v>
      </c>
      <c r="B51" s="10">
        <v>1051</v>
      </c>
      <c r="C51" s="11" t="s">
        <v>84</v>
      </c>
      <c r="D51" s="10" t="s">
        <v>147</v>
      </c>
      <c r="E51" s="55" t="s">
        <v>147</v>
      </c>
      <c r="F51" s="12"/>
      <c r="G51" s="13">
        <v>2856</v>
      </c>
      <c r="H51" s="14"/>
      <c r="I51" s="14">
        <v>1440</v>
      </c>
      <c r="J51" s="14">
        <v>0</v>
      </c>
      <c r="K51" s="14"/>
      <c r="L51" s="15"/>
      <c r="M51" s="16">
        <f t="shared" si="2"/>
        <v>4296</v>
      </c>
      <c r="N51" s="17"/>
      <c r="O51" s="18"/>
      <c r="P51" s="18"/>
      <c r="Q51" s="18">
        <v>0</v>
      </c>
      <c r="R51" s="18"/>
      <c r="S51" s="19">
        <f t="shared" si="0"/>
        <v>0</v>
      </c>
      <c r="T51" s="20">
        <f t="shared" si="1"/>
        <v>4296</v>
      </c>
    </row>
    <row r="52" spans="1:20" s="41" customFormat="1" ht="21.75" customHeight="1" x14ac:dyDescent="0.7">
      <c r="A52" s="9">
        <v>50</v>
      </c>
      <c r="B52" s="10">
        <v>1052</v>
      </c>
      <c r="C52" s="11" t="s">
        <v>85</v>
      </c>
      <c r="D52" s="10" t="s">
        <v>147</v>
      </c>
      <c r="E52" s="55" t="s">
        <v>147</v>
      </c>
      <c r="F52" s="12"/>
      <c r="G52" s="13">
        <v>0</v>
      </c>
      <c r="H52" s="14"/>
      <c r="I52" s="14">
        <v>0</v>
      </c>
      <c r="J52" s="14">
        <v>0</v>
      </c>
      <c r="K52" s="14"/>
      <c r="L52" s="15"/>
      <c r="M52" s="16">
        <f t="shared" si="2"/>
        <v>0</v>
      </c>
      <c r="N52" s="17">
        <v>0</v>
      </c>
      <c r="O52" s="18"/>
      <c r="P52" s="18"/>
      <c r="Q52" s="18">
        <v>0</v>
      </c>
      <c r="R52" s="18"/>
      <c r="S52" s="19">
        <f t="shared" si="0"/>
        <v>0</v>
      </c>
      <c r="T52" s="20">
        <f t="shared" si="1"/>
        <v>0</v>
      </c>
    </row>
    <row r="53" spans="1:20" s="41" customFormat="1" ht="21.75" customHeight="1" x14ac:dyDescent="0.7">
      <c r="A53" s="9">
        <v>51</v>
      </c>
      <c r="B53" s="10">
        <v>1054</v>
      </c>
      <c r="C53" s="11" t="s">
        <v>86</v>
      </c>
      <c r="D53" s="10" t="s">
        <v>147</v>
      </c>
      <c r="E53" s="55" t="s">
        <v>147</v>
      </c>
      <c r="F53" s="12"/>
      <c r="G53" s="13">
        <v>0</v>
      </c>
      <c r="H53" s="14"/>
      <c r="I53" s="14">
        <v>0</v>
      </c>
      <c r="J53" s="14">
        <v>0</v>
      </c>
      <c r="K53" s="14"/>
      <c r="L53" s="15"/>
      <c r="M53" s="16">
        <f t="shared" si="2"/>
        <v>0</v>
      </c>
      <c r="N53" s="17">
        <v>0</v>
      </c>
      <c r="O53" s="18"/>
      <c r="P53" s="18"/>
      <c r="Q53" s="18">
        <v>0</v>
      </c>
      <c r="R53" s="18"/>
      <c r="S53" s="19">
        <f t="shared" si="0"/>
        <v>0</v>
      </c>
      <c r="T53" s="20">
        <f t="shared" si="1"/>
        <v>0</v>
      </c>
    </row>
    <row r="54" spans="1:20" s="41" customFormat="1" ht="21.75" customHeight="1" x14ac:dyDescent="0.7">
      <c r="A54" s="9">
        <v>52</v>
      </c>
      <c r="B54" s="10">
        <v>1055</v>
      </c>
      <c r="C54" s="11" t="s">
        <v>87</v>
      </c>
      <c r="D54" s="10" t="s">
        <v>147</v>
      </c>
      <c r="E54" s="55" t="s">
        <v>147</v>
      </c>
      <c r="F54" s="12"/>
      <c r="G54" s="13">
        <v>4641</v>
      </c>
      <c r="H54" s="14"/>
      <c r="I54" s="14">
        <v>0</v>
      </c>
      <c r="J54" s="14">
        <v>0</v>
      </c>
      <c r="K54" s="14"/>
      <c r="L54" s="15"/>
      <c r="M54" s="16">
        <f t="shared" si="2"/>
        <v>4641</v>
      </c>
      <c r="N54" s="17">
        <v>232.05</v>
      </c>
      <c r="O54" s="18"/>
      <c r="P54" s="18"/>
      <c r="Q54" s="18">
        <v>0</v>
      </c>
      <c r="R54" s="18"/>
      <c r="S54" s="19">
        <f t="shared" si="0"/>
        <v>232.05</v>
      </c>
      <c r="T54" s="20">
        <f t="shared" si="1"/>
        <v>4408.95</v>
      </c>
    </row>
    <row r="55" spans="1:20" s="41" customFormat="1" ht="21.75" customHeight="1" x14ac:dyDescent="0.7">
      <c r="A55" s="9">
        <v>53</v>
      </c>
      <c r="B55" s="10">
        <v>1056</v>
      </c>
      <c r="C55" s="11" t="s">
        <v>88</v>
      </c>
      <c r="D55" s="10" t="s">
        <v>147</v>
      </c>
      <c r="E55" s="55" t="s">
        <v>147</v>
      </c>
      <c r="F55" s="12"/>
      <c r="G55" s="13">
        <v>4284</v>
      </c>
      <c r="H55" s="14"/>
      <c r="I55" s="14">
        <v>2160</v>
      </c>
      <c r="J55" s="14">
        <v>0</v>
      </c>
      <c r="K55" s="14"/>
      <c r="L55" s="15"/>
      <c r="M55" s="16">
        <f t="shared" si="2"/>
        <v>6444</v>
      </c>
      <c r="N55" s="17"/>
      <c r="O55" s="18"/>
      <c r="P55" s="18"/>
      <c r="Q55" s="18">
        <v>0</v>
      </c>
      <c r="R55" s="18"/>
      <c r="S55" s="19">
        <f t="shared" si="0"/>
        <v>0</v>
      </c>
      <c r="T55" s="20">
        <f t="shared" si="1"/>
        <v>6444</v>
      </c>
    </row>
    <row r="56" spans="1:20" s="41" customFormat="1" ht="21.75" customHeight="1" x14ac:dyDescent="0.7">
      <c r="A56" s="9">
        <v>54</v>
      </c>
      <c r="B56" s="10">
        <v>1057</v>
      </c>
      <c r="C56" s="11" t="s">
        <v>89</v>
      </c>
      <c r="D56" s="10" t="s">
        <v>147</v>
      </c>
      <c r="E56" s="55" t="s">
        <v>147</v>
      </c>
      <c r="F56" s="12"/>
      <c r="G56" s="13">
        <v>1071</v>
      </c>
      <c r="H56" s="14"/>
      <c r="I56" s="14">
        <v>540</v>
      </c>
      <c r="J56" s="14">
        <v>0</v>
      </c>
      <c r="K56" s="14"/>
      <c r="L56" s="15"/>
      <c r="M56" s="16">
        <f t="shared" si="2"/>
        <v>1611</v>
      </c>
      <c r="N56" s="17">
        <v>53.550000000000004</v>
      </c>
      <c r="O56" s="18"/>
      <c r="P56" s="18"/>
      <c r="Q56" s="18">
        <v>0</v>
      </c>
      <c r="R56" s="18"/>
      <c r="S56" s="19">
        <f t="shared" si="0"/>
        <v>53.550000000000004</v>
      </c>
      <c r="T56" s="20">
        <f t="shared" si="1"/>
        <v>1557.45</v>
      </c>
    </row>
    <row r="57" spans="1:20" s="41" customFormat="1" ht="21.75" customHeight="1" x14ac:dyDescent="0.7">
      <c r="A57" s="9">
        <v>55</v>
      </c>
      <c r="B57" s="10">
        <v>1058</v>
      </c>
      <c r="C57" s="11" t="s">
        <v>90</v>
      </c>
      <c r="D57" s="10" t="s">
        <v>147</v>
      </c>
      <c r="E57" s="55" t="s">
        <v>147</v>
      </c>
      <c r="F57" s="12"/>
      <c r="G57" s="13">
        <v>4284</v>
      </c>
      <c r="H57" s="14"/>
      <c r="I57" s="14">
        <v>2160</v>
      </c>
      <c r="J57" s="14">
        <v>0</v>
      </c>
      <c r="K57" s="14"/>
      <c r="L57" s="15"/>
      <c r="M57" s="16">
        <f t="shared" si="2"/>
        <v>6444</v>
      </c>
      <c r="N57" s="17">
        <v>214.20000000000002</v>
      </c>
      <c r="O57" s="18"/>
      <c r="P57" s="18"/>
      <c r="Q57" s="18">
        <v>0</v>
      </c>
      <c r="R57" s="18"/>
      <c r="S57" s="19">
        <f t="shared" si="0"/>
        <v>214.20000000000002</v>
      </c>
      <c r="T57" s="20">
        <f t="shared" si="1"/>
        <v>6229.8</v>
      </c>
    </row>
    <row r="58" spans="1:20" s="41" customFormat="1" ht="21.75" customHeight="1" x14ac:dyDescent="0.7">
      <c r="A58" s="9">
        <v>56</v>
      </c>
      <c r="B58" s="10">
        <v>1059</v>
      </c>
      <c r="C58" s="11" t="s">
        <v>91</v>
      </c>
      <c r="D58" s="10" t="s">
        <v>147</v>
      </c>
      <c r="E58" s="55" t="s">
        <v>147</v>
      </c>
      <c r="F58" s="12"/>
      <c r="G58" s="13">
        <v>4641</v>
      </c>
      <c r="H58" s="14"/>
      <c r="I58" s="14">
        <v>2340</v>
      </c>
      <c r="J58" s="14">
        <v>0</v>
      </c>
      <c r="K58" s="14"/>
      <c r="L58" s="15"/>
      <c r="M58" s="16">
        <f t="shared" si="2"/>
        <v>6981</v>
      </c>
      <c r="N58" s="17"/>
      <c r="O58" s="18"/>
      <c r="P58" s="18"/>
      <c r="Q58" s="18">
        <v>3000</v>
      </c>
      <c r="R58" s="18"/>
      <c r="S58" s="19">
        <f t="shared" si="0"/>
        <v>3000</v>
      </c>
      <c r="T58" s="20">
        <f t="shared" si="1"/>
        <v>3981</v>
      </c>
    </row>
    <row r="59" spans="1:20" s="41" customFormat="1" ht="21.75" customHeight="1" x14ac:dyDescent="0.7">
      <c r="A59" s="9">
        <v>57</v>
      </c>
      <c r="B59" s="10">
        <v>1060</v>
      </c>
      <c r="C59" s="11" t="s">
        <v>92</v>
      </c>
      <c r="D59" s="10" t="s">
        <v>147</v>
      </c>
      <c r="E59" s="55" t="s">
        <v>147</v>
      </c>
      <c r="F59" s="12"/>
      <c r="G59" s="13">
        <v>4998</v>
      </c>
      <c r="H59" s="14"/>
      <c r="I59" s="14">
        <v>2520</v>
      </c>
      <c r="J59" s="14">
        <v>0</v>
      </c>
      <c r="K59" s="14"/>
      <c r="L59" s="15"/>
      <c r="M59" s="16">
        <f t="shared" si="2"/>
        <v>7518</v>
      </c>
      <c r="N59" s="17">
        <v>249.9</v>
      </c>
      <c r="O59" s="18"/>
      <c r="P59" s="18"/>
      <c r="Q59" s="18">
        <v>0</v>
      </c>
      <c r="R59" s="18"/>
      <c r="S59" s="19">
        <f t="shared" si="0"/>
        <v>249.9</v>
      </c>
      <c r="T59" s="20">
        <f t="shared" si="1"/>
        <v>7268.1</v>
      </c>
    </row>
    <row r="60" spans="1:20" s="41" customFormat="1" ht="21.75" customHeight="1" x14ac:dyDescent="0.7">
      <c r="A60" s="9">
        <v>58</v>
      </c>
      <c r="B60" s="10">
        <v>1061</v>
      </c>
      <c r="C60" s="11" t="s">
        <v>93</v>
      </c>
      <c r="D60" s="10" t="s">
        <v>147</v>
      </c>
      <c r="E60" s="55" t="s">
        <v>147</v>
      </c>
      <c r="F60" s="12"/>
      <c r="G60" s="13">
        <v>4284</v>
      </c>
      <c r="H60" s="14"/>
      <c r="I60" s="14">
        <v>2160</v>
      </c>
      <c r="J60" s="14">
        <v>0</v>
      </c>
      <c r="K60" s="14"/>
      <c r="L60" s="15"/>
      <c r="M60" s="16">
        <f t="shared" si="2"/>
        <v>6444</v>
      </c>
      <c r="N60" s="17">
        <v>214.20000000000002</v>
      </c>
      <c r="O60" s="18"/>
      <c r="P60" s="18"/>
      <c r="Q60" s="18">
        <v>3000</v>
      </c>
      <c r="R60" s="18"/>
      <c r="S60" s="19">
        <f t="shared" si="0"/>
        <v>3214.2</v>
      </c>
      <c r="T60" s="20">
        <f t="shared" si="1"/>
        <v>3229.8</v>
      </c>
    </row>
    <row r="61" spans="1:20" s="41" customFormat="1" ht="21.75" customHeight="1" x14ac:dyDescent="0.7">
      <c r="A61" s="9">
        <v>59</v>
      </c>
      <c r="B61" s="10">
        <v>1062</v>
      </c>
      <c r="C61" s="11" t="s">
        <v>94</v>
      </c>
      <c r="D61" s="10" t="s">
        <v>147</v>
      </c>
      <c r="E61" s="55" t="s">
        <v>147</v>
      </c>
      <c r="F61" s="12"/>
      <c r="G61" s="13">
        <v>3927</v>
      </c>
      <c r="H61" s="14"/>
      <c r="I61" s="14">
        <v>1980</v>
      </c>
      <c r="J61" s="14">
        <v>0</v>
      </c>
      <c r="K61" s="14"/>
      <c r="L61" s="15"/>
      <c r="M61" s="16">
        <f t="shared" si="2"/>
        <v>5907</v>
      </c>
      <c r="N61" s="17">
        <v>196.35000000000002</v>
      </c>
      <c r="O61" s="18"/>
      <c r="P61" s="18"/>
      <c r="Q61" s="18">
        <v>0</v>
      </c>
      <c r="R61" s="18"/>
      <c r="S61" s="19">
        <f t="shared" si="0"/>
        <v>196.35000000000002</v>
      </c>
      <c r="T61" s="20">
        <f t="shared" si="1"/>
        <v>5710.65</v>
      </c>
    </row>
    <row r="62" spans="1:20" s="41" customFormat="1" ht="21.75" customHeight="1" x14ac:dyDescent="0.7">
      <c r="A62" s="9">
        <v>60</v>
      </c>
      <c r="B62" s="10">
        <v>1063</v>
      </c>
      <c r="C62" s="11" t="s">
        <v>95</v>
      </c>
      <c r="D62" s="10" t="s">
        <v>147</v>
      </c>
      <c r="E62" s="55" t="s">
        <v>147</v>
      </c>
      <c r="F62" s="12"/>
      <c r="G62" s="13">
        <v>4641</v>
      </c>
      <c r="H62" s="14"/>
      <c r="I62" s="14">
        <v>2340</v>
      </c>
      <c r="J62" s="14">
        <v>75</v>
      </c>
      <c r="K62" s="14"/>
      <c r="L62" s="15"/>
      <c r="M62" s="16">
        <f t="shared" si="2"/>
        <v>7056</v>
      </c>
      <c r="N62" s="17">
        <v>232.05</v>
      </c>
      <c r="O62" s="18"/>
      <c r="P62" s="18"/>
      <c r="Q62" s="18">
        <v>0</v>
      </c>
      <c r="R62" s="18"/>
      <c r="S62" s="19">
        <f t="shared" si="0"/>
        <v>232.05</v>
      </c>
      <c r="T62" s="20">
        <f t="shared" si="1"/>
        <v>6823.95</v>
      </c>
    </row>
    <row r="63" spans="1:20" s="41" customFormat="1" ht="21.75" customHeight="1" x14ac:dyDescent="0.7">
      <c r="A63" s="9">
        <v>61</v>
      </c>
      <c r="B63" s="10">
        <v>1064</v>
      </c>
      <c r="C63" s="11" t="s">
        <v>96</v>
      </c>
      <c r="D63" s="10" t="s">
        <v>147</v>
      </c>
      <c r="E63" s="55" t="s">
        <v>147</v>
      </c>
      <c r="F63" s="12"/>
      <c r="G63" s="13">
        <v>4641</v>
      </c>
      <c r="H63" s="14"/>
      <c r="I63" s="14">
        <v>2340</v>
      </c>
      <c r="J63" s="14">
        <v>713</v>
      </c>
      <c r="K63" s="14"/>
      <c r="L63" s="15"/>
      <c r="M63" s="16">
        <f t="shared" si="2"/>
        <v>7694</v>
      </c>
      <c r="N63" s="17">
        <v>232.05</v>
      </c>
      <c r="O63" s="18"/>
      <c r="P63" s="18"/>
      <c r="Q63" s="18">
        <v>0</v>
      </c>
      <c r="R63" s="18"/>
      <c r="S63" s="19">
        <f t="shared" si="0"/>
        <v>232.05</v>
      </c>
      <c r="T63" s="20">
        <f t="shared" si="1"/>
        <v>7461.95</v>
      </c>
    </row>
    <row r="64" spans="1:20" s="41" customFormat="1" ht="21.75" customHeight="1" x14ac:dyDescent="0.7">
      <c r="A64" s="9">
        <v>62</v>
      </c>
      <c r="B64" s="10">
        <v>1065</v>
      </c>
      <c r="C64" s="11" t="s">
        <v>97</v>
      </c>
      <c r="D64" s="10" t="s">
        <v>147</v>
      </c>
      <c r="E64" s="55" t="s">
        <v>147</v>
      </c>
      <c r="F64" s="12"/>
      <c r="G64" s="13">
        <v>2856</v>
      </c>
      <c r="H64" s="14"/>
      <c r="I64" s="14">
        <v>1440</v>
      </c>
      <c r="J64" s="14">
        <v>246</v>
      </c>
      <c r="K64" s="14"/>
      <c r="L64" s="15"/>
      <c r="M64" s="16">
        <f t="shared" si="2"/>
        <v>4542</v>
      </c>
      <c r="N64" s="17">
        <v>142.80000000000001</v>
      </c>
      <c r="O64" s="18"/>
      <c r="P64" s="18"/>
      <c r="Q64" s="18">
        <v>3000</v>
      </c>
      <c r="R64" s="18"/>
      <c r="S64" s="19">
        <f t="shared" si="0"/>
        <v>3142.8</v>
      </c>
      <c r="T64" s="20">
        <f t="shared" si="1"/>
        <v>1399.1999999999998</v>
      </c>
    </row>
    <row r="65" spans="1:20" s="41" customFormat="1" ht="21.75" customHeight="1" x14ac:dyDescent="0.7">
      <c r="A65" s="9">
        <v>63</v>
      </c>
      <c r="B65" s="10">
        <v>1066</v>
      </c>
      <c r="C65" s="11" t="s">
        <v>98</v>
      </c>
      <c r="D65" s="10" t="s">
        <v>147</v>
      </c>
      <c r="E65" s="55" t="s">
        <v>147</v>
      </c>
      <c r="F65" s="12"/>
      <c r="G65" s="13">
        <v>4641</v>
      </c>
      <c r="H65" s="14"/>
      <c r="I65" s="14">
        <v>2340</v>
      </c>
      <c r="J65" s="14">
        <v>353</v>
      </c>
      <c r="K65" s="14"/>
      <c r="L65" s="15"/>
      <c r="M65" s="16">
        <f t="shared" si="2"/>
        <v>7334</v>
      </c>
      <c r="N65" s="17">
        <v>232.05</v>
      </c>
      <c r="O65" s="18"/>
      <c r="P65" s="18"/>
      <c r="Q65" s="18">
        <v>4000</v>
      </c>
      <c r="R65" s="18"/>
      <c r="S65" s="19">
        <f t="shared" si="0"/>
        <v>4232.05</v>
      </c>
      <c r="T65" s="20">
        <f t="shared" si="1"/>
        <v>3101.95</v>
      </c>
    </row>
    <row r="66" spans="1:20" s="41" customFormat="1" ht="21.75" customHeight="1" x14ac:dyDescent="0.7">
      <c r="A66" s="9">
        <v>64</v>
      </c>
      <c r="B66" s="10">
        <v>1067</v>
      </c>
      <c r="C66" s="11" t="s">
        <v>99</v>
      </c>
      <c r="D66" s="10" t="s">
        <v>147</v>
      </c>
      <c r="E66" s="55" t="s">
        <v>147</v>
      </c>
      <c r="F66" s="12"/>
      <c r="G66" s="13">
        <v>4284</v>
      </c>
      <c r="H66" s="14"/>
      <c r="I66" s="14">
        <v>2160</v>
      </c>
      <c r="J66" s="14">
        <v>353</v>
      </c>
      <c r="K66" s="14"/>
      <c r="L66" s="15"/>
      <c r="M66" s="16">
        <f t="shared" si="2"/>
        <v>6797</v>
      </c>
      <c r="N66" s="17"/>
      <c r="O66" s="18"/>
      <c r="P66" s="18"/>
      <c r="Q66" s="18">
        <v>0</v>
      </c>
      <c r="R66" s="18"/>
      <c r="S66" s="19">
        <f t="shared" si="0"/>
        <v>0</v>
      </c>
      <c r="T66" s="20">
        <f t="shared" si="1"/>
        <v>6797</v>
      </c>
    </row>
    <row r="67" spans="1:20" s="41" customFormat="1" ht="21.75" customHeight="1" x14ac:dyDescent="0.7">
      <c r="A67" s="9">
        <v>65</v>
      </c>
      <c r="B67" s="10">
        <v>1068</v>
      </c>
      <c r="C67" s="11" t="s">
        <v>100</v>
      </c>
      <c r="D67" s="10" t="s">
        <v>147</v>
      </c>
      <c r="E67" s="55" t="s">
        <v>147</v>
      </c>
      <c r="F67" s="12"/>
      <c r="G67" s="13">
        <v>4998</v>
      </c>
      <c r="H67" s="14"/>
      <c r="I67" s="14">
        <v>2520</v>
      </c>
      <c r="J67" s="14">
        <v>0</v>
      </c>
      <c r="K67" s="14"/>
      <c r="L67" s="15"/>
      <c r="M67" s="16">
        <f t="shared" si="2"/>
        <v>7518</v>
      </c>
      <c r="N67" s="17"/>
      <c r="O67" s="18"/>
      <c r="P67" s="18"/>
      <c r="Q67" s="18">
        <v>3000</v>
      </c>
      <c r="R67" s="18"/>
      <c r="S67" s="19">
        <f t="shared" ref="S67:S117" si="3">SUM(N67:R67)</f>
        <v>3000</v>
      </c>
      <c r="T67" s="20">
        <f t="shared" ref="T67:T117" si="4">+M67-S67</f>
        <v>4518</v>
      </c>
    </row>
    <row r="68" spans="1:20" s="41" customFormat="1" ht="21.75" customHeight="1" x14ac:dyDescent="0.7">
      <c r="A68" s="9">
        <v>66</v>
      </c>
      <c r="B68" s="10">
        <v>1069</v>
      </c>
      <c r="C68" s="11" t="s">
        <v>101</v>
      </c>
      <c r="D68" s="10" t="s">
        <v>147</v>
      </c>
      <c r="E68" s="55" t="s">
        <v>147</v>
      </c>
      <c r="F68" s="12"/>
      <c r="G68" s="13">
        <v>4998</v>
      </c>
      <c r="H68" s="14"/>
      <c r="I68" s="14">
        <v>2520</v>
      </c>
      <c r="J68" s="14">
        <v>0</v>
      </c>
      <c r="K68" s="14"/>
      <c r="L68" s="15"/>
      <c r="M68" s="16">
        <f t="shared" ref="M68:M117" si="5">SUM(G68:K68)</f>
        <v>7518</v>
      </c>
      <c r="N68" s="17"/>
      <c r="O68" s="18"/>
      <c r="P68" s="18"/>
      <c r="Q68" s="18">
        <v>0</v>
      </c>
      <c r="R68" s="18"/>
      <c r="S68" s="19">
        <f t="shared" si="3"/>
        <v>0</v>
      </c>
      <c r="T68" s="20">
        <f t="shared" si="4"/>
        <v>7518</v>
      </c>
    </row>
    <row r="69" spans="1:20" s="41" customFormat="1" ht="21.75" customHeight="1" x14ac:dyDescent="0.7">
      <c r="A69" s="9">
        <v>67</v>
      </c>
      <c r="B69" s="10">
        <v>1070</v>
      </c>
      <c r="C69" s="11" t="s">
        <v>102</v>
      </c>
      <c r="D69" s="10" t="s">
        <v>147</v>
      </c>
      <c r="E69" s="55" t="s">
        <v>147</v>
      </c>
      <c r="F69" s="12"/>
      <c r="G69" s="13">
        <v>4641</v>
      </c>
      <c r="H69" s="14"/>
      <c r="I69" s="14">
        <v>2340</v>
      </c>
      <c r="J69" s="14">
        <v>300</v>
      </c>
      <c r="K69" s="14"/>
      <c r="L69" s="15"/>
      <c r="M69" s="16">
        <f t="shared" si="5"/>
        <v>7281</v>
      </c>
      <c r="N69" s="17">
        <v>232.05</v>
      </c>
      <c r="O69" s="18"/>
      <c r="P69" s="18"/>
      <c r="Q69" s="18">
        <v>4000</v>
      </c>
      <c r="R69" s="18"/>
      <c r="S69" s="19">
        <f t="shared" si="3"/>
        <v>4232.05</v>
      </c>
      <c r="T69" s="20">
        <f t="shared" si="4"/>
        <v>3048.95</v>
      </c>
    </row>
    <row r="70" spans="1:20" s="41" customFormat="1" ht="21.75" customHeight="1" x14ac:dyDescent="0.7">
      <c r="A70" s="9">
        <v>68</v>
      </c>
      <c r="B70" s="10">
        <v>1071</v>
      </c>
      <c r="C70" s="11" t="s">
        <v>103</v>
      </c>
      <c r="D70" s="10" t="s">
        <v>147</v>
      </c>
      <c r="E70" s="55" t="s">
        <v>147</v>
      </c>
      <c r="F70" s="12"/>
      <c r="G70" s="13">
        <v>0</v>
      </c>
      <c r="H70" s="14"/>
      <c r="I70" s="14">
        <v>0</v>
      </c>
      <c r="J70" s="14">
        <v>0</v>
      </c>
      <c r="K70" s="14"/>
      <c r="L70" s="15"/>
      <c r="M70" s="16">
        <f t="shared" si="5"/>
        <v>0</v>
      </c>
      <c r="N70" s="17">
        <v>0</v>
      </c>
      <c r="O70" s="18"/>
      <c r="P70" s="18"/>
      <c r="Q70" s="18">
        <v>0</v>
      </c>
      <c r="R70" s="18"/>
      <c r="S70" s="19">
        <f t="shared" si="3"/>
        <v>0</v>
      </c>
      <c r="T70" s="20">
        <f t="shared" si="4"/>
        <v>0</v>
      </c>
    </row>
    <row r="71" spans="1:20" s="41" customFormat="1" ht="21.75" customHeight="1" x14ac:dyDescent="0.7">
      <c r="A71" s="9">
        <v>69</v>
      </c>
      <c r="B71" s="10">
        <v>1072</v>
      </c>
      <c r="C71" s="11" t="s">
        <v>104</v>
      </c>
      <c r="D71" s="10" t="s">
        <v>147</v>
      </c>
      <c r="E71" s="55" t="s">
        <v>147</v>
      </c>
      <c r="F71" s="12"/>
      <c r="G71" s="13">
        <v>0</v>
      </c>
      <c r="H71" s="14"/>
      <c r="I71" s="14">
        <v>0</v>
      </c>
      <c r="J71" s="14">
        <v>0</v>
      </c>
      <c r="K71" s="14"/>
      <c r="L71" s="15"/>
      <c r="M71" s="16">
        <f t="shared" si="5"/>
        <v>0</v>
      </c>
      <c r="N71" s="17"/>
      <c r="O71" s="18"/>
      <c r="P71" s="18"/>
      <c r="Q71" s="18">
        <v>0</v>
      </c>
      <c r="R71" s="18"/>
      <c r="S71" s="19">
        <f t="shared" si="3"/>
        <v>0</v>
      </c>
      <c r="T71" s="20">
        <f t="shared" si="4"/>
        <v>0</v>
      </c>
    </row>
    <row r="72" spans="1:20" s="41" customFormat="1" ht="21.75" customHeight="1" x14ac:dyDescent="0.7">
      <c r="A72" s="9">
        <v>70</v>
      </c>
      <c r="B72" s="10">
        <v>1073</v>
      </c>
      <c r="C72" s="11" t="s">
        <v>105</v>
      </c>
      <c r="D72" s="10" t="s">
        <v>147</v>
      </c>
      <c r="E72" s="55" t="s">
        <v>147</v>
      </c>
      <c r="F72" s="12"/>
      <c r="G72" s="13">
        <v>4659</v>
      </c>
      <c r="H72" s="14"/>
      <c r="I72" s="14">
        <v>2340</v>
      </c>
      <c r="J72" s="14">
        <v>0</v>
      </c>
      <c r="K72" s="14"/>
      <c r="L72" s="15"/>
      <c r="M72" s="16">
        <f t="shared" si="5"/>
        <v>6999</v>
      </c>
      <c r="N72" s="17">
        <v>232.95000000000002</v>
      </c>
      <c r="O72" s="18"/>
      <c r="P72" s="18"/>
      <c r="Q72" s="18">
        <v>2500</v>
      </c>
      <c r="R72" s="18"/>
      <c r="S72" s="19">
        <f t="shared" si="3"/>
        <v>2732.95</v>
      </c>
      <c r="T72" s="20">
        <f t="shared" si="4"/>
        <v>4266.05</v>
      </c>
    </row>
    <row r="73" spans="1:20" s="41" customFormat="1" ht="21.75" customHeight="1" x14ac:dyDescent="0.7">
      <c r="A73" s="9">
        <v>71</v>
      </c>
      <c r="B73" s="10">
        <v>1074</v>
      </c>
      <c r="C73" s="11" t="s">
        <v>106</v>
      </c>
      <c r="D73" s="10" t="s">
        <v>147</v>
      </c>
      <c r="E73" s="55" t="s">
        <v>147</v>
      </c>
      <c r="F73" s="12"/>
      <c r="G73" s="13">
        <v>4596.375</v>
      </c>
      <c r="H73" s="14"/>
      <c r="I73" s="14">
        <v>2160</v>
      </c>
      <c r="J73" s="14">
        <v>0</v>
      </c>
      <c r="K73" s="14"/>
      <c r="L73" s="15"/>
      <c r="M73" s="16">
        <f t="shared" si="5"/>
        <v>6756.375</v>
      </c>
      <c r="N73" s="17">
        <v>229.81875000000002</v>
      </c>
      <c r="O73" s="18"/>
      <c r="P73" s="18"/>
      <c r="Q73" s="18">
        <v>0</v>
      </c>
      <c r="R73" s="18"/>
      <c r="S73" s="19">
        <f t="shared" si="3"/>
        <v>229.81875000000002</v>
      </c>
      <c r="T73" s="20">
        <f t="shared" si="4"/>
        <v>6526.5562499999996</v>
      </c>
    </row>
    <row r="74" spans="1:20" s="41" customFormat="1" ht="21.75" customHeight="1" x14ac:dyDescent="0.7">
      <c r="A74" s="9">
        <v>72</v>
      </c>
      <c r="B74" s="10">
        <v>1075</v>
      </c>
      <c r="C74" s="11" t="s">
        <v>107</v>
      </c>
      <c r="D74" s="10" t="s">
        <v>147</v>
      </c>
      <c r="E74" s="55" t="s">
        <v>147</v>
      </c>
      <c r="F74" s="12"/>
      <c r="G74" s="13">
        <v>0</v>
      </c>
      <c r="H74" s="14"/>
      <c r="I74" s="14">
        <v>0</v>
      </c>
      <c r="J74" s="14">
        <v>0</v>
      </c>
      <c r="K74" s="14"/>
      <c r="L74" s="15"/>
      <c r="M74" s="16">
        <f t="shared" si="5"/>
        <v>0</v>
      </c>
      <c r="N74" s="17">
        <v>0</v>
      </c>
      <c r="O74" s="18"/>
      <c r="P74" s="18"/>
      <c r="Q74" s="18">
        <v>0</v>
      </c>
      <c r="R74" s="18"/>
      <c r="S74" s="19">
        <f t="shared" si="3"/>
        <v>0</v>
      </c>
      <c r="T74" s="20">
        <f t="shared" si="4"/>
        <v>0</v>
      </c>
    </row>
    <row r="75" spans="1:20" s="41" customFormat="1" ht="21.75" customHeight="1" x14ac:dyDescent="0.7">
      <c r="A75" s="9">
        <v>73</v>
      </c>
      <c r="B75" s="10">
        <v>1076</v>
      </c>
      <c r="C75" s="11" t="s">
        <v>108</v>
      </c>
      <c r="D75" s="10" t="s">
        <v>147</v>
      </c>
      <c r="E75" s="55" t="s">
        <v>147</v>
      </c>
      <c r="F75" s="12"/>
      <c r="G75" s="13">
        <v>3945</v>
      </c>
      <c r="H75" s="14"/>
      <c r="I75" s="14">
        <v>1980</v>
      </c>
      <c r="J75" s="14">
        <v>73</v>
      </c>
      <c r="K75" s="14"/>
      <c r="L75" s="15"/>
      <c r="M75" s="16">
        <f t="shared" si="5"/>
        <v>5998</v>
      </c>
      <c r="N75" s="17">
        <v>197.25</v>
      </c>
      <c r="O75" s="18"/>
      <c r="P75" s="18"/>
      <c r="Q75" s="18">
        <v>2000</v>
      </c>
      <c r="R75" s="18"/>
      <c r="S75" s="19">
        <f t="shared" si="3"/>
        <v>2197.25</v>
      </c>
      <c r="T75" s="20">
        <f t="shared" si="4"/>
        <v>3800.75</v>
      </c>
    </row>
    <row r="76" spans="1:20" s="41" customFormat="1" ht="21.75" customHeight="1" x14ac:dyDescent="0.7">
      <c r="A76" s="9">
        <v>74</v>
      </c>
      <c r="B76" s="10">
        <v>1077</v>
      </c>
      <c r="C76" s="11" t="s">
        <v>109</v>
      </c>
      <c r="D76" s="10" t="s">
        <v>147</v>
      </c>
      <c r="E76" s="55" t="s">
        <v>147</v>
      </c>
      <c r="F76" s="12"/>
      <c r="G76" s="13">
        <v>4302</v>
      </c>
      <c r="H76" s="14"/>
      <c r="I76" s="14">
        <v>2160</v>
      </c>
      <c r="J76" s="14">
        <v>386</v>
      </c>
      <c r="K76" s="14"/>
      <c r="L76" s="15"/>
      <c r="M76" s="16">
        <f t="shared" si="5"/>
        <v>6848</v>
      </c>
      <c r="N76" s="17">
        <v>215.10000000000002</v>
      </c>
      <c r="O76" s="18"/>
      <c r="P76" s="18"/>
      <c r="Q76" s="18">
        <v>0</v>
      </c>
      <c r="R76" s="18"/>
      <c r="S76" s="19">
        <f t="shared" si="3"/>
        <v>215.10000000000002</v>
      </c>
      <c r="T76" s="20">
        <f t="shared" si="4"/>
        <v>6632.9</v>
      </c>
    </row>
    <row r="77" spans="1:20" s="41" customFormat="1" ht="21.75" customHeight="1" x14ac:dyDescent="0.7">
      <c r="A77" s="9">
        <v>75</v>
      </c>
      <c r="B77" s="10">
        <v>1078</v>
      </c>
      <c r="C77" s="11" t="s">
        <v>110</v>
      </c>
      <c r="D77" s="10" t="s">
        <v>147</v>
      </c>
      <c r="E77" s="55" t="s">
        <v>147</v>
      </c>
      <c r="F77" s="12"/>
      <c r="G77" s="13">
        <v>4302</v>
      </c>
      <c r="H77" s="14"/>
      <c r="I77" s="14">
        <v>2160</v>
      </c>
      <c r="J77" s="14">
        <v>26</v>
      </c>
      <c r="K77" s="14"/>
      <c r="L77" s="15"/>
      <c r="M77" s="16">
        <f t="shared" si="5"/>
        <v>6488</v>
      </c>
      <c r="N77" s="17"/>
      <c r="O77" s="18"/>
      <c r="P77" s="18"/>
      <c r="Q77" s="18">
        <v>0</v>
      </c>
      <c r="R77" s="18"/>
      <c r="S77" s="19">
        <f t="shared" si="3"/>
        <v>0</v>
      </c>
      <c r="T77" s="20">
        <f t="shared" si="4"/>
        <v>6488</v>
      </c>
    </row>
    <row r="78" spans="1:20" s="41" customFormat="1" ht="21.75" customHeight="1" x14ac:dyDescent="0.7">
      <c r="A78" s="9">
        <v>76</v>
      </c>
      <c r="B78" s="10">
        <v>1079</v>
      </c>
      <c r="C78" s="11" t="s">
        <v>111</v>
      </c>
      <c r="D78" s="10" t="s">
        <v>147</v>
      </c>
      <c r="E78" s="55" t="s">
        <v>147</v>
      </c>
      <c r="F78" s="12"/>
      <c r="G78" s="13">
        <v>2160</v>
      </c>
      <c r="H78" s="14"/>
      <c r="I78" s="14">
        <v>1080</v>
      </c>
      <c r="J78" s="14">
        <v>13</v>
      </c>
      <c r="K78" s="14"/>
      <c r="L78" s="15"/>
      <c r="M78" s="16">
        <f t="shared" si="5"/>
        <v>3253</v>
      </c>
      <c r="N78" s="17"/>
      <c r="O78" s="18"/>
      <c r="P78" s="18"/>
      <c r="Q78" s="18">
        <v>0</v>
      </c>
      <c r="R78" s="18"/>
      <c r="S78" s="19">
        <f t="shared" si="3"/>
        <v>0</v>
      </c>
      <c r="T78" s="20">
        <f t="shared" si="4"/>
        <v>3253</v>
      </c>
    </row>
    <row r="79" spans="1:20" s="41" customFormat="1" ht="21.75" customHeight="1" x14ac:dyDescent="0.7">
      <c r="A79" s="9">
        <v>77</v>
      </c>
      <c r="B79" s="10">
        <v>1080</v>
      </c>
      <c r="C79" s="11" t="s">
        <v>112</v>
      </c>
      <c r="D79" s="10" t="s">
        <v>147</v>
      </c>
      <c r="E79" s="55" t="s">
        <v>147</v>
      </c>
      <c r="F79" s="12"/>
      <c r="G79" s="13">
        <v>4302</v>
      </c>
      <c r="H79" s="14"/>
      <c r="I79" s="14">
        <v>2160</v>
      </c>
      <c r="J79" s="14">
        <v>345</v>
      </c>
      <c r="K79" s="14"/>
      <c r="L79" s="15"/>
      <c r="M79" s="16">
        <f t="shared" si="5"/>
        <v>6807</v>
      </c>
      <c r="N79" s="17">
        <v>215.10000000000002</v>
      </c>
      <c r="O79" s="18"/>
      <c r="P79" s="18"/>
      <c r="Q79" s="18">
        <v>3000</v>
      </c>
      <c r="R79" s="18"/>
      <c r="S79" s="19">
        <f t="shared" si="3"/>
        <v>3215.1</v>
      </c>
      <c r="T79" s="20">
        <f t="shared" si="4"/>
        <v>3591.9</v>
      </c>
    </row>
    <row r="80" spans="1:20" s="41" customFormat="1" ht="21.75" customHeight="1" x14ac:dyDescent="0.7">
      <c r="A80" s="9">
        <v>78</v>
      </c>
      <c r="B80" s="10">
        <v>1081</v>
      </c>
      <c r="C80" s="11" t="s">
        <v>113</v>
      </c>
      <c r="D80" s="10" t="s">
        <v>147</v>
      </c>
      <c r="E80" s="55" t="s">
        <v>147</v>
      </c>
      <c r="F80" s="12"/>
      <c r="G80" s="13">
        <v>3588</v>
      </c>
      <c r="H80" s="14"/>
      <c r="I80" s="14">
        <v>1800</v>
      </c>
      <c r="J80" s="14">
        <v>42</v>
      </c>
      <c r="K80" s="14"/>
      <c r="L80" s="15"/>
      <c r="M80" s="16">
        <f t="shared" si="5"/>
        <v>5430</v>
      </c>
      <c r="N80" s="17"/>
      <c r="O80" s="18"/>
      <c r="P80" s="18"/>
      <c r="Q80" s="18">
        <v>0</v>
      </c>
      <c r="R80" s="18"/>
      <c r="S80" s="19">
        <f t="shared" si="3"/>
        <v>0</v>
      </c>
      <c r="T80" s="20">
        <f t="shared" si="4"/>
        <v>5430</v>
      </c>
    </row>
    <row r="81" spans="1:20" s="41" customFormat="1" ht="21.75" customHeight="1" x14ac:dyDescent="0.7">
      <c r="A81" s="9">
        <v>79</v>
      </c>
      <c r="B81" s="10">
        <v>1082</v>
      </c>
      <c r="C81" s="11" t="s">
        <v>114</v>
      </c>
      <c r="D81" s="10" t="s">
        <v>147</v>
      </c>
      <c r="E81" s="55" t="s">
        <v>147</v>
      </c>
      <c r="F81" s="12"/>
      <c r="G81" s="13">
        <v>0</v>
      </c>
      <c r="H81" s="14"/>
      <c r="I81" s="14">
        <v>0</v>
      </c>
      <c r="J81" s="14">
        <v>0</v>
      </c>
      <c r="K81" s="14"/>
      <c r="L81" s="15"/>
      <c r="M81" s="16">
        <f t="shared" si="5"/>
        <v>0</v>
      </c>
      <c r="N81" s="17">
        <v>0</v>
      </c>
      <c r="O81" s="18"/>
      <c r="P81" s="18"/>
      <c r="Q81" s="18">
        <v>0</v>
      </c>
      <c r="R81" s="18"/>
      <c r="S81" s="19">
        <f t="shared" si="3"/>
        <v>0</v>
      </c>
      <c r="T81" s="20">
        <f t="shared" si="4"/>
        <v>0</v>
      </c>
    </row>
    <row r="82" spans="1:20" s="41" customFormat="1" ht="21.75" customHeight="1" x14ac:dyDescent="0.7">
      <c r="A82" s="9">
        <v>80</v>
      </c>
      <c r="B82" s="10">
        <v>1083</v>
      </c>
      <c r="C82" s="11" t="s">
        <v>115</v>
      </c>
      <c r="D82" s="10" t="s">
        <v>147</v>
      </c>
      <c r="E82" s="55" t="s">
        <v>147</v>
      </c>
      <c r="F82" s="12"/>
      <c r="G82" s="13">
        <v>5016</v>
      </c>
      <c r="H82" s="14"/>
      <c r="I82" s="14">
        <v>2520</v>
      </c>
      <c r="J82" s="14">
        <v>569</v>
      </c>
      <c r="K82" s="14"/>
      <c r="L82" s="15"/>
      <c r="M82" s="16">
        <f t="shared" si="5"/>
        <v>8105</v>
      </c>
      <c r="N82" s="17">
        <v>250.8</v>
      </c>
      <c r="O82" s="18"/>
      <c r="P82" s="18"/>
      <c r="Q82" s="18">
        <v>0</v>
      </c>
      <c r="R82" s="18"/>
      <c r="S82" s="19">
        <f t="shared" si="3"/>
        <v>250.8</v>
      </c>
      <c r="T82" s="20">
        <f t="shared" si="4"/>
        <v>7854.2</v>
      </c>
    </row>
    <row r="83" spans="1:20" s="41" customFormat="1" ht="21.75" customHeight="1" x14ac:dyDescent="0.7">
      <c r="A83" s="9">
        <v>81</v>
      </c>
      <c r="B83" s="10">
        <v>1084</v>
      </c>
      <c r="C83" s="11" t="s">
        <v>116</v>
      </c>
      <c r="D83" s="10" t="s">
        <v>147</v>
      </c>
      <c r="E83" s="55" t="s">
        <v>147</v>
      </c>
      <c r="F83" s="12"/>
      <c r="G83" s="13">
        <v>4659</v>
      </c>
      <c r="H83" s="14"/>
      <c r="I83" s="14">
        <v>2340</v>
      </c>
      <c r="J83" s="14">
        <v>30</v>
      </c>
      <c r="K83" s="14"/>
      <c r="L83" s="15"/>
      <c r="M83" s="16">
        <f t="shared" si="5"/>
        <v>7029</v>
      </c>
      <c r="N83" s="17">
        <v>232.95000000000002</v>
      </c>
      <c r="O83" s="18"/>
      <c r="P83" s="18"/>
      <c r="Q83" s="18">
        <v>4000</v>
      </c>
      <c r="R83" s="18"/>
      <c r="S83" s="19">
        <f t="shared" si="3"/>
        <v>4232.95</v>
      </c>
      <c r="T83" s="20">
        <f t="shared" si="4"/>
        <v>2796.05</v>
      </c>
    </row>
    <row r="84" spans="1:20" s="41" customFormat="1" ht="21.75" customHeight="1" x14ac:dyDescent="0.7">
      <c r="A84" s="9">
        <v>82</v>
      </c>
      <c r="B84" s="10">
        <v>1085</v>
      </c>
      <c r="C84" s="11" t="s">
        <v>117</v>
      </c>
      <c r="D84" s="10" t="s">
        <v>147</v>
      </c>
      <c r="E84" s="55" t="s">
        <v>147</v>
      </c>
      <c r="F84" s="12"/>
      <c r="G84" s="13">
        <v>2874</v>
      </c>
      <c r="H84" s="14"/>
      <c r="I84" s="14">
        <v>1440</v>
      </c>
      <c r="J84" s="14">
        <v>13</v>
      </c>
      <c r="K84" s="14"/>
      <c r="L84" s="15"/>
      <c r="M84" s="16">
        <f t="shared" si="5"/>
        <v>4327</v>
      </c>
      <c r="N84" s="17"/>
      <c r="O84" s="18"/>
      <c r="P84" s="18"/>
      <c r="Q84" s="18">
        <v>0</v>
      </c>
      <c r="R84" s="18"/>
      <c r="S84" s="19">
        <f t="shared" si="3"/>
        <v>0</v>
      </c>
      <c r="T84" s="20">
        <f t="shared" si="4"/>
        <v>4327</v>
      </c>
    </row>
    <row r="85" spans="1:20" s="41" customFormat="1" ht="21.75" customHeight="1" x14ac:dyDescent="0.7">
      <c r="A85" s="9">
        <v>83</v>
      </c>
      <c r="B85" s="10">
        <v>1086</v>
      </c>
      <c r="C85" s="11" t="s">
        <v>118</v>
      </c>
      <c r="D85" s="10" t="s">
        <v>147</v>
      </c>
      <c r="E85" s="55" t="s">
        <v>147</v>
      </c>
      <c r="F85" s="12"/>
      <c r="G85" s="13">
        <v>4641</v>
      </c>
      <c r="H85" s="14"/>
      <c r="I85" s="14">
        <v>2340</v>
      </c>
      <c r="J85" s="14">
        <v>149</v>
      </c>
      <c r="K85" s="14"/>
      <c r="L85" s="15"/>
      <c r="M85" s="16">
        <f t="shared" si="5"/>
        <v>7130</v>
      </c>
      <c r="N85" s="17">
        <v>232.05</v>
      </c>
      <c r="O85" s="18"/>
      <c r="P85" s="18"/>
      <c r="Q85" s="18">
        <v>0</v>
      </c>
      <c r="R85" s="18"/>
      <c r="S85" s="19">
        <f t="shared" si="3"/>
        <v>232.05</v>
      </c>
      <c r="T85" s="20">
        <f t="shared" si="4"/>
        <v>6897.95</v>
      </c>
    </row>
    <row r="86" spans="1:20" s="41" customFormat="1" ht="21.75" customHeight="1" x14ac:dyDescent="0.7">
      <c r="A86" s="9">
        <v>84</v>
      </c>
      <c r="B86" s="10">
        <v>1087</v>
      </c>
      <c r="C86" s="11" t="s">
        <v>119</v>
      </c>
      <c r="D86" s="10" t="s">
        <v>147</v>
      </c>
      <c r="E86" s="55" t="s">
        <v>147</v>
      </c>
      <c r="F86" s="12"/>
      <c r="G86" s="13">
        <v>4659</v>
      </c>
      <c r="H86" s="14"/>
      <c r="I86" s="14">
        <v>2340</v>
      </c>
      <c r="J86" s="14">
        <v>149</v>
      </c>
      <c r="K86" s="14"/>
      <c r="L86" s="15"/>
      <c r="M86" s="16">
        <f t="shared" si="5"/>
        <v>7148</v>
      </c>
      <c r="N86" s="17">
        <v>232.95000000000002</v>
      </c>
      <c r="O86" s="18"/>
      <c r="P86" s="18"/>
      <c r="Q86" s="18">
        <v>0</v>
      </c>
      <c r="R86" s="18"/>
      <c r="S86" s="19">
        <f t="shared" si="3"/>
        <v>232.95000000000002</v>
      </c>
      <c r="T86" s="20">
        <f t="shared" si="4"/>
        <v>6915.05</v>
      </c>
    </row>
    <row r="87" spans="1:20" s="41" customFormat="1" ht="21.75" customHeight="1" x14ac:dyDescent="0.7">
      <c r="A87" s="9">
        <v>85</v>
      </c>
      <c r="B87" s="10">
        <v>1088</v>
      </c>
      <c r="C87" s="11" t="s">
        <v>120</v>
      </c>
      <c r="D87" s="10" t="s">
        <v>147</v>
      </c>
      <c r="E87" s="55" t="s">
        <v>147</v>
      </c>
      <c r="F87" s="12"/>
      <c r="G87" s="13">
        <v>4659</v>
      </c>
      <c r="H87" s="14"/>
      <c r="I87" s="14">
        <v>2340</v>
      </c>
      <c r="J87" s="14">
        <v>150</v>
      </c>
      <c r="K87" s="14"/>
      <c r="L87" s="15"/>
      <c r="M87" s="16">
        <f t="shared" si="5"/>
        <v>7149</v>
      </c>
      <c r="N87" s="17"/>
      <c r="O87" s="18"/>
      <c r="P87" s="18"/>
      <c r="Q87" s="18">
        <v>0</v>
      </c>
      <c r="R87" s="18"/>
      <c r="S87" s="19">
        <f t="shared" si="3"/>
        <v>0</v>
      </c>
      <c r="T87" s="20">
        <f t="shared" si="4"/>
        <v>7149</v>
      </c>
    </row>
    <row r="88" spans="1:20" s="41" customFormat="1" ht="21.75" customHeight="1" x14ac:dyDescent="0.7">
      <c r="A88" s="9">
        <v>86</v>
      </c>
      <c r="B88" s="10">
        <v>1089</v>
      </c>
      <c r="C88" s="11" t="s">
        <v>121</v>
      </c>
      <c r="D88" s="10" t="s">
        <v>147</v>
      </c>
      <c r="E88" s="55" t="s">
        <v>147</v>
      </c>
      <c r="F88" s="12"/>
      <c r="G88" s="13">
        <v>0</v>
      </c>
      <c r="H88" s="14"/>
      <c r="I88" s="14">
        <v>0</v>
      </c>
      <c r="J88" s="14">
        <v>0</v>
      </c>
      <c r="K88" s="14"/>
      <c r="L88" s="15"/>
      <c r="M88" s="16">
        <f t="shared" si="5"/>
        <v>0</v>
      </c>
      <c r="N88" s="17"/>
      <c r="O88" s="18"/>
      <c r="P88" s="18"/>
      <c r="Q88" s="18">
        <v>0</v>
      </c>
      <c r="R88" s="18"/>
      <c r="S88" s="19">
        <f t="shared" si="3"/>
        <v>0</v>
      </c>
      <c r="T88" s="20">
        <f t="shared" si="4"/>
        <v>0</v>
      </c>
    </row>
    <row r="89" spans="1:20" s="41" customFormat="1" ht="21.75" customHeight="1" x14ac:dyDescent="0.7">
      <c r="A89" s="9">
        <v>87</v>
      </c>
      <c r="B89" s="10">
        <v>1090</v>
      </c>
      <c r="C89" s="11" t="s">
        <v>122</v>
      </c>
      <c r="D89" s="10" t="s">
        <v>147</v>
      </c>
      <c r="E89" s="55" t="s">
        <v>147</v>
      </c>
      <c r="F89" s="12"/>
      <c r="G89" s="13">
        <v>4641</v>
      </c>
      <c r="H89" s="14"/>
      <c r="I89" s="14">
        <v>2340</v>
      </c>
      <c r="J89" s="14">
        <v>0</v>
      </c>
      <c r="K89" s="14"/>
      <c r="L89" s="15"/>
      <c r="M89" s="16">
        <f t="shared" si="5"/>
        <v>6981</v>
      </c>
      <c r="N89" s="17"/>
      <c r="O89" s="18"/>
      <c r="P89" s="18"/>
      <c r="Q89" s="18">
        <v>3000</v>
      </c>
      <c r="R89" s="18"/>
      <c r="S89" s="19">
        <f t="shared" si="3"/>
        <v>3000</v>
      </c>
      <c r="T89" s="20">
        <f t="shared" si="4"/>
        <v>3981</v>
      </c>
    </row>
    <row r="90" spans="1:20" s="41" customFormat="1" ht="21.75" customHeight="1" x14ac:dyDescent="0.7">
      <c r="A90" s="9">
        <v>88</v>
      </c>
      <c r="B90" s="10">
        <v>1092</v>
      </c>
      <c r="C90" s="11" t="s">
        <v>123</v>
      </c>
      <c r="D90" s="10" t="s">
        <v>147</v>
      </c>
      <c r="E90" s="55" t="s">
        <v>147</v>
      </c>
      <c r="F90" s="12"/>
      <c r="G90" s="13">
        <v>4284</v>
      </c>
      <c r="H90" s="14"/>
      <c r="I90" s="14">
        <v>2160</v>
      </c>
      <c r="J90" s="14">
        <v>30</v>
      </c>
      <c r="K90" s="14"/>
      <c r="L90" s="15"/>
      <c r="M90" s="16">
        <f t="shared" si="5"/>
        <v>6474</v>
      </c>
      <c r="N90" s="17"/>
      <c r="O90" s="18"/>
      <c r="P90" s="18"/>
      <c r="Q90" s="18">
        <v>3000</v>
      </c>
      <c r="R90" s="18"/>
      <c r="S90" s="19">
        <f t="shared" si="3"/>
        <v>3000</v>
      </c>
      <c r="T90" s="20">
        <f t="shared" si="4"/>
        <v>3474</v>
      </c>
    </row>
    <row r="91" spans="1:20" s="41" customFormat="1" ht="21.75" customHeight="1" x14ac:dyDescent="0.7">
      <c r="A91" s="9">
        <v>89</v>
      </c>
      <c r="B91" s="10">
        <v>1093</v>
      </c>
      <c r="C91" s="11" t="s">
        <v>124</v>
      </c>
      <c r="D91" s="10" t="s">
        <v>147</v>
      </c>
      <c r="E91" s="55" t="s">
        <v>147</v>
      </c>
      <c r="F91" s="12"/>
      <c r="G91" s="13">
        <v>4998</v>
      </c>
      <c r="H91" s="14"/>
      <c r="I91" s="14">
        <v>2520</v>
      </c>
      <c r="J91" s="14">
        <v>13</v>
      </c>
      <c r="K91" s="14"/>
      <c r="L91" s="15"/>
      <c r="M91" s="16">
        <f t="shared" si="5"/>
        <v>7531</v>
      </c>
      <c r="N91" s="17"/>
      <c r="O91" s="18"/>
      <c r="P91" s="18"/>
      <c r="Q91" s="18">
        <v>0</v>
      </c>
      <c r="R91" s="18"/>
      <c r="S91" s="19">
        <f t="shared" si="3"/>
        <v>0</v>
      </c>
      <c r="T91" s="20">
        <f t="shared" si="4"/>
        <v>7531</v>
      </c>
    </row>
    <row r="92" spans="1:20" s="41" customFormat="1" ht="21.75" customHeight="1" x14ac:dyDescent="0.7">
      <c r="A92" s="9">
        <v>90</v>
      </c>
      <c r="B92" s="10">
        <v>1094</v>
      </c>
      <c r="C92" s="11" t="s">
        <v>125</v>
      </c>
      <c r="D92" s="10" t="s">
        <v>147</v>
      </c>
      <c r="E92" s="55" t="s">
        <v>147</v>
      </c>
      <c r="F92" s="12"/>
      <c r="G92" s="13">
        <v>4998</v>
      </c>
      <c r="H92" s="14"/>
      <c r="I92" s="14">
        <v>2520</v>
      </c>
      <c r="J92" s="14">
        <v>13</v>
      </c>
      <c r="K92" s="14"/>
      <c r="L92" s="15"/>
      <c r="M92" s="16">
        <f t="shared" si="5"/>
        <v>7531</v>
      </c>
      <c r="N92" s="17"/>
      <c r="O92" s="18"/>
      <c r="P92" s="18"/>
      <c r="Q92" s="18">
        <v>3000</v>
      </c>
      <c r="R92" s="18"/>
      <c r="S92" s="19">
        <f t="shared" si="3"/>
        <v>3000</v>
      </c>
      <c r="T92" s="20">
        <f t="shared" si="4"/>
        <v>4531</v>
      </c>
    </row>
    <row r="93" spans="1:20" s="41" customFormat="1" ht="21.75" customHeight="1" x14ac:dyDescent="0.7">
      <c r="A93" s="9">
        <v>91</v>
      </c>
      <c r="B93" s="10">
        <v>1095</v>
      </c>
      <c r="C93" s="11" t="s">
        <v>126</v>
      </c>
      <c r="D93" s="10" t="s">
        <v>147</v>
      </c>
      <c r="E93" s="55" t="s">
        <v>147</v>
      </c>
      <c r="F93" s="12"/>
      <c r="G93" s="13">
        <v>4641</v>
      </c>
      <c r="H93" s="14"/>
      <c r="I93" s="14">
        <v>2340</v>
      </c>
      <c r="J93" s="14">
        <v>107</v>
      </c>
      <c r="K93" s="14"/>
      <c r="L93" s="15"/>
      <c r="M93" s="16">
        <f t="shared" si="5"/>
        <v>7088</v>
      </c>
      <c r="N93" s="17"/>
      <c r="O93" s="18"/>
      <c r="P93" s="18"/>
      <c r="Q93" s="18">
        <v>1500</v>
      </c>
      <c r="R93" s="18"/>
      <c r="S93" s="19">
        <f t="shared" si="3"/>
        <v>1500</v>
      </c>
      <c r="T93" s="20">
        <f t="shared" si="4"/>
        <v>5588</v>
      </c>
    </row>
    <row r="94" spans="1:20" s="41" customFormat="1" ht="21.75" customHeight="1" x14ac:dyDescent="0.7">
      <c r="A94" s="9">
        <v>92</v>
      </c>
      <c r="B94" s="10">
        <v>1096</v>
      </c>
      <c r="C94" s="11" t="s">
        <v>127</v>
      </c>
      <c r="D94" s="10" t="s">
        <v>147</v>
      </c>
      <c r="E94" s="55" t="s">
        <v>147</v>
      </c>
      <c r="F94" s="12"/>
      <c r="G94" s="13">
        <v>3927</v>
      </c>
      <c r="H94" s="14"/>
      <c r="I94" s="14">
        <v>1980</v>
      </c>
      <c r="J94" s="14">
        <v>0</v>
      </c>
      <c r="K94" s="14"/>
      <c r="L94" s="15"/>
      <c r="M94" s="16">
        <f t="shared" si="5"/>
        <v>5907</v>
      </c>
      <c r="N94" s="17"/>
      <c r="O94" s="18"/>
      <c r="P94" s="18"/>
      <c r="Q94" s="18">
        <v>0</v>
      </c>
      <c r="R94" s="18"/>
      <c r="S94" s="19">
        <f t="shared" si="3"/>
        <v>0</v>
      </c>
      <c r="T94" s="20">
        <f t="shared" si="4"/>
        <v>5907</v>
      </c>
    </row>
    <row r="95" spans="1:20" s="41" customFormat="1" ht="21.75" customHeight="1" x14ac:dyDescent="0.7">
      <c r="A95" s="9">
        <v>93</v>
      </c>
      <c r="B95" s="10">
        <v>1097</v>
      </c>
      <c r="C95" s="11" t="s">
        <v>128</v>
      </c>
      <c r="D95" s="10" t="s">
        <v>147</v>
      </c>
      <c r="E95" s="55" t="s">
        <v>147</v>
      </c>
      <c r="F95" s="12"/>
      <c r="G95" s="13">
        <v>714</v>
      </c>
      <c r="H95" s="14"/>
      <c r="I95" s="14">
        <v>360</v>
      </c>
      <c r="J95" s="14">
        <v>0</v>
      </c>
      <c r="K95" s="14"/>
      <c r="L95" s="15"/>
      <c r="M95" s="16">
        <f t="shared" si="5"/>
        <v>1074</v>
      </c>
      <c r="N95" s="17"/>
      <c r="O95" s="18"/>
      <c r="P95" s="18"/>
      <c r="Q95" s="18">
        <v>0</v>
      </c>
      <c r="R95" s="18"/>
      <c r="S95" s="19">
        <f t="shared" si="3"/>
        <v>0</v>
      </c>
      <c r="T95" s="20">
        <f t="shared" si="4"/>
        <v>1074</v>
      </c>
    </row>
    <row r="96" spans="1:20" s="41" customFormat="1" ht="21.75" customHeight="1" x14ac:dyDescent="0.7">
      <c r="A96" s="9">
        <v>94</v>
      </c>
      <c r="B96" s="10">
        <v>1098</v>
      </c>
      <c r="C96" s="11" t="s">
        <v>129</v>
      </c>
      <c r="D96" s="10" t="s">
        <v>147</v>
      </c>
      <c r="E96" s="55" t="s">
        <v>147</v>
      </c>
      <c r="F96" s="12"/>
      <c r="G96" s="13">
        <v>2142</v>
      </c>
      <c r="H96" s="14"/>
      <c r="I96" s="14">
        <v>1080</v>
      </c>
      <c r="J96" s="14">
        <v>0</v>
      </c>
      <c r="K96" s="14"/>
      <c r="L96" s="15"/>
      <c r="M96" s="16">
        <f t="shared" si="5"/>
        <v>3222</v>
      </c>
      <c r="N96" s="17"/>
      <c r="O96" s="18"/>
      <c r="P96" s="18"/>
      <c r="Q96" s="18">
        <v>0</v>
      </c>
      <c r="R96" s="18"/>
      <c r="S96" s="19">
        <f t="shared" si="3"/>
        <v>0</v>
      </c>
      <c r="T96" s="20">
        <f t="shared" si="4"/>
        <v>3222</v>
      </c>
    </row>
    <row r="97" spans="1:20" s="41" customFormat="1" ht="21.75" customHeight="1" x14ac:dyDescent="0.7">
      <c r="A97" s="9">
        <v>95</v>
      </c>
      <c r="B97" s="10">
        <v>1099</v>
      </c>
      <c r="C97" s="11" t="s">
        <v>130</v>
      </c>
      <c r="D97" s="10" t="s">
        <v>147</v>
      </c>
      <c r="E97" s="55" t="s">
        <v>147</v>
      </c>
      <c r="F97" s="12"/>
      <c r="G97" s="13">
        <v>714</v>
      </c>
      <c r="H97" s="14"/>
      <c r="I97" s="14">
        <v>360</v>
      </c>
      <c r="J97" s="14">
        <v>0</v>
      </c>
      <c r="K97" s="14"/>
      <c r="L97" s="15"/>
      <c r="M97" s="16">
        <f t="shared" si="5"/>
        <v>1074</v>
      </c>
      <c r="N97" s="17"/>
      <c r="O97" s="18"/>
      <c r="P97" s="18"/>
      <c r="Q97" s="18">
        <v>0</v>
      </c>
      <c r="R97" s="18"/>
      <c r="S97" s="19">
        <f t="shared" si="3"/>
        <v>0</v>
      </c>
      <c r="T97" s="20">
        <f t="shared" si="4"/>
        <v>1074</v>
      </c>
    </row>
    <row r="98" spans="1:20" s="41" customFormat="1" ht="21.75" customHeight="1" x14ac:dyDescent="0.7">
      <c r="A98" s="9">
        <v>96</v>
      </c>
      <c r="B98" s="10">
        <v>1100</v>
      </c>
      <c r="C98" s="11" t="s">
        <v>131</v>
      </c>
      <c r="D98" s="10" t="s">
        <v>147</v>
      </c>
      <c r="E98" s="55" t="s">
        <v>147</v>
      </c>
      <c r="F98" s="12"/>
      <c r="G98" s="13">
        <v>4641</v>
      </c>
      <c r="H98" s="14"/>
      <c r="I98" s="14">
        <v>2340</v>
      </c>
      <c r="J98" s="14">
        <v>35</v>
      </c>
      <c r="K98" s="14"/>
      <c r="L98" s="15"/>
      <c r="M98" s="16">
        <f t="shared" si="5"/>
        <v>7016</v>
      </c>
      <c r="N98" s="17"/>
      <c r="O98" s="18"/>
      <c r="P98" s="18"/>
      <c r="Q98" s="18">
        <v>0</v>
      </c>
      <c r="R98" s="18"/>
      <c r="S98" s="19">
        <f t="shared" si="3"/>
        <v>0</v>
      </c>
      <c r="T98" s="20">
        <f t="shared" si="4"/>
        <v>7016</v>
      </c>
    </row>
    <row r="99" spans="1:20" s="41" customFormat="1" ht="21.75" customHeight="1" x14ac:dyDescent="0.7">
      <c r="A99" s="9">
        <v>97</v>
      </c>
      <c r="B99" s="10">
        <v>1101</v>
      </c>
      <c r="C99" s="11" t="s">
        <v>132</v>
      </c>
      <c r="D99" s="10" t="s">
        <v>147</v>
      </c>
      <c r="E99" s="55" t="s">
        <v>147</v>
      </c>
      <c r="F99" s="12"/>
      <c r="G99" s="13">
        <v>2499</v>
      </c>
      <c r="H99" s="14"/>
      <c r="I99" s="14">
        <v>1260</v>
      </c>
      <c r="J99" s="14">
        <v>0</v>
      </c>
      <c r="K99" s="14"/>
      <c r="L99" s="15"/>
      <c r="M99" s="16">
        <f t="shared" si="5"/>
        <v>3759</v>
      </c>
      <c r="N99" s="17"/>
      <c r="O99" s="18"/>
      <c r="P99" s="18"/>
      <c r="Q99" s="18">
        <v>0</v>
      </c>
      <c r="R99" s="18"/>
      <c r="S99" s="19">
        <f t="shared" si="3"/>
        <v>0</v>
      </c>
      <c r="T99" s="20">
        <f t="shared" si="4"/>
        <v>3759</v>
      </c>
    </row>
    <row r="100" spans="1:20" s="41" customFormat="1" ht="21.75" customHeight="1" x14ac:dyDescent="0.7">
      <c r="A100" s="9">
        <v>98</v>
      </c>
      <c r="B100" s="10">
        <v>1102</v>
      </c>
      <c r="C100" s="11" t="s">
        <v>133</v>
      </c>
      <c r="D100" s="10" t="s">
        <v>147</v>
      </c>
      <c r="E100" s="55" t="s">
        <v>147</v>
      </c>
      <c r="F100" s="12"/>
      <c r="G100" s="13">
        <v>714</v>
      </c>
      <c r="H100" s="14"/>
      <c r="I100" s="14">
        <v>360</v>
      </c>
      <c r="J100" s="14">
        <v>0</v>
      </c>
      <c r="K100" s="14"/>
      <c r="L100" s="15"/>
      <c r="M100" s="16">
        <f t="shared" si="5"/>
        <v>1074</v>
      </c>
      <c r="N100" s="17"/>
      <c r="O100" s="18"/>
      <c r="P100" s="18"/>
      <c r="Q100" s="18">
        <v>0</v>
      </c>
      <c r="R100" s="18"/>
      <c r="S100" s="19">
        <f t="shared" si="3"/>
        <v>0</v>
      </c>
      <c r="T100" s="20">
        <f t="shared" si="4"/>
        <v>1074</v>
      </c>
    </row>
    <row r="101" spans="1:20" s="41" customFormat="1" ht="21.75" customHeight="1" x14ac:dyDescent="0.7">
      <c r="A101" s="9">
        <v>99</v>
      </c>
      <c r="B101" s="10">
        <v>1103</v>
      </c>
      <c r="C101" s="11" t="s">
        <v>134</v>
      </c>
      <c r="D101" s="10" t="s">
        <v>147</v>
      </c>
      <c r="E101" s="55" t="s">
        <v>147</v>
      </c>
      <c r="F101" s="12"/>
      <c r="G101" s="13">
        <v>714</v>
      </c>
      <c r="H101" s="14"/>
      <c r="I101" s="14">
        <v>360</v>
      </c>
      <c r="J101" s="14">
        <v>0</v>
      </c>
      <c r="K101" s="14"/>
      <c r="L101" s="15"/>
      <c r="M101" s="16">
        <f t="shared" si="5"/>
        <v>1074</v>
      </c>
      <c r="N101" s="17"/>
      <c r="O101" s="18"/>
      <c r="P101" s="18"/>
      <c r="Q101" s="18">
        <v>0</v>
      </c>
      <c r="R101" s="18"/>
      <c r="S101" s="19">
        <f t="shared" si="3"/>
        <v>0</v>
      </c>
      <c r="T101" s="20">
        <f t="shared" si="4"/>
        <v>1074</v>
      </c>
    </row>
    <row r="102" spans="1:20" s="41" customFormat="1" ht="21.75" customHeight="1" x14ac:dyDescent="0.7">
      <c r="A102" s="9">
        <v>100</v>
      </c>
      <c r="B102" s="10">
        <v>1104</v>
      </c>
      <c r="C102" s="11" t="s">
        <v>135</v>
      </c>
      <c r="D102" s="10" t="s">
        <v>147</v>
      </c>
      <c r="E102" s="55" t="s">
        <v>147</v>
      </c>
      <c r="F102" s="12"/>
      <c r="G102" s="13">
        <v>357</v>
      </c>
      <c r="H102" s="14"/>
      <c r="I102" s="14">
        <v>180</v>
      </c>
      <c r="J102" s="14">
        <v>0</v>
      </c>
      <c r="K102" s="14"/>
      <c r="L102" s="15"/>
      <c r="M102" s="16">
        <f t="shared" si="5"/>
        <v>537</v>
      </c>
      <c r="N102" s="17"/>
      <c r="O102" s="18"/>
      <c r="P102" s="18"/>
      <c r="Q102" s="18">
        <v>0</v>
      </c>
      <c r="R102" s="18"/>
      <c r="S102" s="19">
        <f t="shared" si="3"/>
        <v>0</v>
      </c>
      <c r="T102" s="20">
        <f t="shared" si="4"/>
        <v>537</v>
      </c>
    </row>
    <row r="103" spans="1:20" s="41" customFormat="1" ht="21.75" customHeight="1" x14ac:dyDescent="0.7">
      <c r="A103" s="9">
        <v>101</v>
      </c>
      <c r="B103" s="10">
        <v>1105</v>
      </c>
      <c r="C103" s="11" t="s">
        <v>136</v>
      </c>
      <c r="D103" s="10" t="s">
        <v>147</v>
      </c>
      <c r="E103" s="55" t="s">
        <v>147</v>
      </c>
      <c r="F103" s="12"/>
      <c r="G103" s="13">
        <v>2142</v>
      </c>
      <c r="H103" s="14"/>
      <c r="I103" s="14">
        <v>1080</v>
      </c>
      <c r="J103" s="14">
        <v>0</v>
      </c>
      <c r="K103" s="14"/>
      <c r="L103" s="15"/>
      <c r="M103" s="16">
        <f t="shared" si="5"/>
        <v>3222</v>
      </c>
      <c r="N103" s="17"/>
      <c r="O103" s="18"/>
      <c r="P103" s="18"/>
      <c r="Q103" s="18">
        <v>0</v>
      </c>
      <c r="R103" s="18"/>
      <c r="S103" s="19">
        <f t="shared" si="3"/>
        <v>0</v>
      </c>
      <c r="T103" s="20">
        <f t="shared" si="4"/>
        <v>3222</v>
      </c>
    </row>
    <row r="104" spans="1:20" s="41" customFormat="1" ht="21.75" customHeight="1" x14ac:dyDescent="0.7">
      <c r="A104" s="9">
        <v>102</v>
      </c>
      <c r="B104" s="10">
        <v>1106</v>
      </c>
      <c r="C104" s="11" t="s">
        <v>137</v>
      </c>
      <c r="D104" s="10" t="s">
        <v>147</v>
      </c>
      <c r="E104" s="55" t="s">
        <v>147</v>
      </c>
      <c r="F104" s="12"/>
      <c r="G104" s="13">
        <v>5016</v>
      </c>
      <c r="H104" s="14"/>
      <c r="I104" s="14">
        <v>2520</v>
      </c>
      <c r="J104" s="14">
        <v>537</v>
      </c>
      <c r="K104" s="14"/>
      <c r="L104" s="15"/>
      <c r="M104" s="16">
        <f t="shared" si="5"/>
        <v>8073</v>
      </c>
      <c r="N104" s="17"/>
      <c r="O104" s="18"/>
      <c r="P104" s="18"/>
      <c r="Q104" s="18">
        <v>3000</v>
      </c>
      <c r="R104" s="18"/>
      <c r="S104" s="19">
        <f t="shared" si="3"/>
        <v>3000</v>
      </c>
      <c r="T104" s="20">
        <f t="shared" si="4"/>
        <v>5073</v>
      </c>
    </row>
    <row r="105" spans="1:20" s="41" customFormat="1" ht="21.75" customHeight="1" x14ac:dyDescent="0.7">
      <c r="A105" s="9">
        <v>103</v>
      </c>
      <c r="B105" s="10">
        <v>1107</v>
      </c>
      <c r="C105" s="11" t="s">
        <v>138</v>
      </c>
      <c r="D105" s="10" t="s">
        <v>147</v>
      </c>
      <c r="E105" s="55" t="s">
        <v>147</v>
      </c>
      <c r="F105" s="12"/>
      <c r="G105" s="13">
        <v>2517</v>
      </c>
      <c r="H105" s="14"/>
      <c r="I105" s="14">
        <v>1260</v>
      </c>
      <c r="J105" s="14">
        <v>90</v>
      </c>
      <c r="K105" s="14"/>
      <c r="L105" s="15"/>
      <c r="M105" s="16">
        <f t="shared" si="5"/>
        <v>3867</v>
      </c>
      <c r="N105" s="17"/>
      <c r="O105" s="18"/>
      <c r="P105" s="18"/>
      <c r="Q105" s="18">
        <v>0</v>
      </c>
      <c r="R105" s="18"/>
      <c r="S105" s="19">
        <f t="shared" si="3"/>
        <v>0</v>
      </c>
      <c r="T105" s="20">
        <f t="shared" si="4"/>
        <v>3867</v>
      </c>
    </row>
    <row r="106" spans="1:20" s="41" customFormat="1" ht="21.75" customHeight="1" x14ac:dyDescent="0.7">
      <c r="A106" s="9">
        <v>104</v>
      </c>
      <c r="B106" s="10">
        <v>1108</v>
      </c>
      <c r="C106" s="11" t="s">
        <v>139</v>
      </c>
      <c r="D106" s="10" t="s">
        <v>147</v>
      </c>
      <c r="E106" s="55" t="s">
        <v>147</v>
      </c>
      <c r="F106" s="12"/>
      <c r="G106" s="13">
        <v>357</v>
      </c>
      <c r="H106" s="14"/>
      <c r="I106" s="14">
        <v>180</v>
      </c>
      <c r="J106" s="14">
        <v>0</v>
      </c>
      <c r="K106" s="14"/>
      <c r="L106" s="15"/>
      <c r="M106" s="16">
        <f t="shared" si="5"/>
        <v>537</v>
      </c>
      <c r="N106" s="17"/>
      <c r="O106" s="18"/>
      <c r="P106" s="18"/>
      <c r="Q106" s="18">
        <v>0</v>
      </c>
      <c r="R106" s="18"/>
      <c r="S106" s="19">
        <f t="shared" si="3"/>
        <v>0</v>
      </c>
      <c r="T106" s="20">
        <f t="shared" si="4"/>
        <v>537</v>
      </c>
    </row>
    <row r="107" spans="1:20" s="41" customFormat="1" ht="21.75" customHeight="1" x14ac:dyDescent="0.7">
      <c r="A107" s="9">
        <v>105</v>
      </c>
      <c r="B107" s="10">
        <v>1109</v>
      </c>
      <c r="C107" s="11" t="s">
        <v>140</v>
      </c>
      <c r="D107" s="10" t="s">
        <v>147</v>
      </c>
      <c r="E107" s="55" t="s">
        <v>147</v>
      </c>
      <c r="F107" s="12"/>
      <c r="G107" s="13">
        <v>3213</v>
      </c>
      <c r="H107" s="14"/>
      <c r="I107" s="14">
        <v>1620</v>
      </c>
      <c r="J107" s="14">
        <v>0</v>
      </c>
      <c r="K107" s="14"/>
      <c r="L107" s="15"/>
      <c r="M107" s="16">
        <f t="shared" si="5"/>
        <v>4833</v>
      </c>
      <c r="N107" s="17">
        <v>160.65</v>
      </c>
      <c r="O107" s="18"/>
      <c r="P107" s="18"/>
      <c r="Q107" s="18">
        <v>0</v>
      </c>
      <c r="R107" s="18"/>
      <c r="S107" s="19">
        <f t="shared" si="3"/>
        <v>160.65</v>
      </c>
      <c r="T107" s="20">
        <f t="shared" si="4"/>
        <v>4672.3500000000004</v>
      </c>
    </row>
    <row r="108" spans="1:20" s="41" customFormat="1" ht="21.75" customHeight="1" x14ac:dyDescent="0.7">
      <c r="A108" s="9">
        <v>106</v>
      </c>
      <c r="B108" s="10">
        <v>1110</v>
      </c>
      <c r="C108" s="11" t="s">
        <v>141</v>
      </c>
      <c r="D108" s="10" t="s">
        <v>147</v>
      </c>
      <c r="E108" s="55" t="s">
        <v>147</v>
      </c>
      <c r="F108" s="12"/>
      <c r="G108" s="13">
        <v>3927</v>
      </c>
      <c r="H108" s="14"/>
      <c r="I108" s="14">
        <v>1980</v>
      </c>
      <c r="J108" s="14">
        <v>0</v>
      </c>
      <c r="K108" s="14"/>
      <c r="L108" s="15"/>
      <c r="M108" s="16">
        <f t="shared" si="5"/>
        <v>5907</v>
      </c>
      <c r="N108" s="17">
        <v>196.35000000000002</v>
      </c>
      <c r="O108" s="18"/>
      <c r="P108" s="18"/>
      <c r="Q108" s="18">
        <v>3000</v>
      </c>
      <c r="R108" s="18"/>
      <c r="S108" s="19">
        <f t="shared" si="3"/>
        <v>3196.35</v>
      </c>
      <c r="T108" s="20">
        <f t="shared" si="4"/>
        <v>2710.65</v>
      </c>
    </row>
    <row r="109" spans="1:20" s="41" customFormat="1" ht="21.75" customHeight="1" x14ac:dyDescent="0.7">
      <c r="A109" s="9">
        <v>107</v>
      </c>
      <c r="B109" s="10">
        <v>1111</v>
      </c>
      <c r="C109" s="11" t="s">
        <v>142</v>
      </c>
      <c r="D109" s="10" t="s">
        <v>147</v>
      </c>
      <c r="E109" s="55" t="s">
        <v>147</v>
      </c>
      <c r="F109" s="12"/>
      <c r="G109" s="13">
        <v>714</v>
      </c>
      <c r="H109" s="14"/>
      <c r="I109" s="14">
        <v>360</v>
      </c>
      <c r="J109" s="14">
        <v>0</v>
      </c>
      <c r="K109" s="14"/>
      <c r="L109" s="15"/>
      <c r="M109" s="16">
        <f t="shared" si="5"/>
        <v>1074</v>
      </c>
      <c r="N109" s="17"/>
      <c r="O109" s="18"/>
      <c r="P109" s="18"/>
      <c r="Q109" s="18">
        <v>0</v>
      </c>
      <c r="R109" s="18"/>
      <c r="S109" s="19">
        <f t="shared" si="3"/>
        <v>0</v>
      </c>
      <c r="T109" s="20">
        <f t="shared" si="4"/>
        <v>1074</v>
      </c>
    </row>
    <row r="110" spans="1:20" s="41" customFormat="1" ht="21.75" customHeight="1" x14ac:dyDescent="0.7">
      <c r="A110" s="9">
        <v>108</v>
      </c>
      <c r="B110" s="10">
        <v>1112</v>
      </c>
      <c r="C110" s="11" t="s">
        <v>143</v>
      </c>
      <c r="D110" s="10" t="s">
        <v>147</v>
      </c>
      <c r="E110" s="55" t="s">
        <v>147</v>
      </c>
      <c r="F110" s="12"/>
      <c r="G110" s="13">
        <v>357</v>
      </c>
      <c r="H110" s="14"/>
      <c r="I110" s="14">
        <v>180</v>
      </c>
      <c r="J110" s="14">
        <v>0</v>
      </c>
      <c r="K110" s="14"/>
      <c r="L110" s="15"/>
      <c r="M110" s="16">
        <f t="shared" si="5"/>
        <v>537</v>
      </c>
      <c r="N110" s="17"/>
      <c r="O110" s="18"/>
      <c r="P110" s="18"/>
      <c r="Q110" s="18">
        <v>0</v>
      </c>
      <c r="R110" s="18"/>
      <c r="S110" s="19">
        <f t="shared" si="3"/>
        <v>0</v>
      </c>
      <c r="T110" s="20">
        <f t="shared" si="4"/>
        <v>537</v>
      </c>
    </row>
    <row r="111" spans="1:20" s="41" customFormat="1" ht="21.75" customHeight="1" x14ac:dyDescent="0.7">
      <c r="A111" s="9">
        <v>109</v>
      </c>
      <c r="B111" s="10">
        <v>1113</v>
      </c>
      <c r="C111" s="11" t="s">
        <v>144</v>
      </c>
      <c r="D111" s="10" t="s">
        <v>147</v>
      </c>
      <c r="E111" s="55" t="s">
        <v>147</v>
      </c>
      <c r="F111" s="12"/>
      <c r="G111" s="13">
        <v>357</v>
      </c>
      <c r="H111" s="14"/>
      <c r="I111" s="14">
        <v>0</v>
      </c>
      <c r="J111" s="14">
        <v>0</v>
      </c>
      <c r="K111" s="14"/>
      <c r="L111" s="15"/>
      <c r="M111" s="16">
        <f t="shared" si="5"/>
        <v>357</v>
      </c>
      <c r="N111" s="17"/>
      <c r="O111" s="18"/>
      <c r="P111" s="18"/>
      <c r="Q111" s="18">
        <v>0</v>
      </c>
      <c r="R111" s="18"/>
      <c r="S111" s="19">
        <f t="shared" si="3"/>
        <v>0</v>
      </c>
      <c r="T111" s="20">
        <f t="shared" si="4"/>
        <v>357</v>
      </c>
    </row>
    <row r="112" spans="1:20" s="41" customFormat="1" ht="21.75" customHeight="1" x14ac:dyDescent="0.7">
      <c r="A112" s="9">
        <v>110</v>
      </c>
      <c r="B112" s="10"/>
      <c r="C112" s="11"/>
      <c r="D112" s="10" t="s">
        <v>147</v>
      </c>
      <c r="E112" s="55" t="s">
        <v>147</v>
      </c>
      <c r="F112" s="12"/>
      <c r="G112" s="13"/>
      <c r="H112" s="14"/>
      <c r="I112" s="14"/>
      <c r="J112" s="14"/>
      <c r="K112" s="14"/>
      <c r="L112" s="15"/>
      <c r="M112" s="16">
        <f t="shared" si="5"/>
        <v>0</v>
      </c>
      <c r="N112" s="17"/>
      <c r="O112" s="18"/>
      <c r="P112" s="18"/>
      <c r="Q112" s="18"/>
      <c r="R112" s="18"/>
      <c r="S112" s="19">
        <f t="shared" si="3"/>
        <v>0</v>
      </c>
      <c r="T112" s="20">
        <f t="shared" si="4"/>
        <v>0</v>
      </c>
    </row>
    <row r="113" spans="1:26" s="41" customFormat="1" ht="21.75" customHeight="1" x14ac:dyDescent="0.7">
      <c r="A113" s="9">
        <v>111</v>
      </c>
      <c r="B113" s="10"/>
      <c r="C113" s="11"/>
      <c r="D113" s="10" t="s">
        <v>147</v>
      </c>
      <c r="E113" s="55" t="s">
        <v>147</v>
      </c>
      <c r="F113" s="12"/>
      <c r="G113" s="13"/>
      <c r="H113" s="14"/>
      <c r="I113" s="14"/>
      <c r="J113" s="14"/>
      <c r="K113" s="14"/>
      <c r="L113" s="15"/>
      <c r="M113" s="16">
        <f t="shared" si="5"/>
        <v>0</v>
      </c>
      <c r="N113" s="17"/>
      <c r="O113" s="18"/>
      <c r="P113" s="18"/>
      <c r="Q113" s="18"/>
      <c r="R113" s="18"/>
      <c r="S113" s="19">
        <f t="shared" si="3"/>
        <v>0</v>
      </c>
      <c r="T113" s="20">
        <f t="shared" si="4"/>
        <v>0</v>
      </c>
    </row>
    <row r="114" spans="1:26" s="41" customFormat="1" ht="21.75" customHeight="1" x14ac:dyDescent="0.7">
      <c r="A114" s="9">
        <v>112</v>
      </c>
      <c r="B114" s="10"/>
      <c r="C114" s="11"/>
      <c r="D114" s="10" t="s">
        <v>147</v>
      </c>
      <c r="E114" s="55" t="s">
        <v>147</v>
      </c>
      <c r="F114" s="12"/>
      <c r="G114" s="13"/>
      <c r="H114" s="14"/>
      <c r="I114" s="14"/>
      <c r="J114" s="14"/>
      <c r="K114" s="14"/>
      <c r="L114" s="15"/>
      <c r="M114" s="16">
        <f t="shared" si="5"/>
        <v>0</v>
      </c>
      <c r="N114" s="17"/>
      <c r="O114" s="18"/>
      <c r="P114" s="18"/>
      <c r="Q114" s="18"/>
      <c r="R114" s="18"/>
      <c r="S114" s="19">
        <f t="shared" si="3"/>
        <v>0</v>
      </c>
      <c r="T114" s="20">
        <f t="shared" si="4"/>
        <v>0</v>
      </c>
    </row>
    <row r="115" spans="1:26" s="41" customFormat="1" ht="21.75" customHeight="1" x14ac:dyDescent="0.7">
      <c r="A115" s="9">
        <v>113</v>
      </c>
      <c r="B115" s="10"/>
      <c r="C115" s="11"/>
      <c r="D115" s="10" t="s">
        <v>147</v>
      </c>
      <c r="E115" s="55" t="s">
        <v>147</v>
      </c>
      <c r="F115" s="12"/>
      <c r="G115" s="13"/>
      <c r="H115" s="14"/>
      <c r="I115" s="14"/>
      <c r="J115" s="14"/>
      <c r="K115" s="14"/>
      <c r="L115" s="15"/>
      <c r="M115" s="16">
        <f t="shared" si="5"/>
        <v>0</v>
      </c>
      <c r="N115" s="17"/>
      <c r="O115" s="18"/>
      <c r="P115" s="18"/>
      <c r="Q115" s="18"/>
      <c r="R115" s="18"/>
      <c r="S115" s="19">
        <f t="shared" si="3"/>
        <v>0</v>
      </c>
      <c r="T115" s="20">
        <f t="shared" si="4"/>
        <v>0</v>
      </c>
    </row>
    <row r="116" spans="1:26" s="41" customFormat="1" ht="21.75" customHeight="1" x14ac:dyDescent="0.7">
      <c r="A116" s="9">
        <v>114</v>
      </c>
      <c r="B116" s="10"/>
      <c r="C116" s="11"/>
      <c r="D116" s="10" t="s">
        <v>147</v>
      </c>
      <c r="E116" s="55" t="s">
        <v>147</v>
      </c>
      <c r="F116" s="12"/>
      <c r="G116" s="13"/>
      <c r="H116" s="14"/>
      <c r="I116" s="14"/>
      <c r="J116" s="14"/>
      <c r="K116" s="14"/>
      <c r="L116" s="15"/>
      <c r="M116" s="16">
        <f t="shared" si="5"/>
        <v>0</v>
      </c>
      <c r="N116" s="17"/>
      <c r="O116" s="18"/>
      <c r="P116" s="18"/>
      <c r="Q116" s="18"/>
      <c r="R116" s="18"/>
      <c r="S116" s="19">
        <f t="shared" si="3"/>
        <v>0</v>
      </c>
      <c r="T116" s="20">
        <f t="shared" si="4"/>
        <v>0</v>
      </c>
    </row>
    <row r="117" spans="1:26" s="41" customFormat="1" ht="21.75" customHeight="1" thickBot="1" x14ac:dyDescent="0.75">
      <c r="A117" s="9">
        <v>115</v>
      </c>
      <c r="B117" s="10"/>
      <c r="C117" s="11"/>
      <c r="D117" s="11"/>
      <c r="E117" s="11"/>
      <c r="F117" s="12"/>
      <c r="G117" s="13"/>
      <c r="H117" s="14"/>
      <c r="I117" s="14"/>
      <c r="J117" s="14"/>
      <c r="K117" s="14"/>
      <c r="L117" s="15"/>
      <c r="M117" s="16">
        <f t="shared" si="5"/>
        <v>0</v>
      </c>
      <c r="N117" s="17"/>
      <c r="O117" s="18"/>
      <c r="P117" s="18"/>
      <c r="Q117" s="18"/>
      <c r="R117" s="18"/>
      <c r="S117" s="19">
        <f t="shared" si="3"/>
        <v>0</v>
      </c>
      <c r="T117" s="20">
        <f t="shared" si="4"/>
        <v>0</v>
      </c>
    </row>
    <row r="118" spans="1:26" ht="21.75" customHeight="1" thickBot="1" x14ac:dyDescent="0.75">
      <c r="A118" s="56" t="s">
        <v>19</v>
      </c>
      <c r="B118" s="57"/>
      <c r="C118" s="57"/>
      <c r="D118" s="57"/>
      <c r="E118" s="57"/>
      <c r="F118" s="58"/>
      <c r="G118" s="21">
        <f t="shared" ref="G118:T118" si="6">SUM(G3:G117)</f>
        <v>375635.55033333332</v>
      </c>
      <c r="H118" s="22">
        <f t="shared" si="6"/>
        <v>0</v>
      </c>
      <c r="I118" s="22">
        <f t="shared" si="6"/>
        <v>185443.67</v>
      </c>
      <c r="J118" s="22">
        <f t="shared" si="6"/>
        <v>28104</v>
      </c>
      <c r="K118" s="22">
        <f t="shared" si="6"/>
        <v>0</v>
      </c>
      <c r="L118" s="23">
        <f t="shared" si="6"/>
        <v>0</v>
      </c>
      <c r="M118" s="24">
        <f t="shared" si="6"/>
        <v>589183.22033333336</v>
      </c>
      <c r="N118" s="21">
        <f t="shared" si="6"/>
        <v>11050.732850000002</v>
      </c>
      <c r="O118" s="22">
        <f t="shared" si="6"/>
        <v>0</v>
      </c>
      <c r="P118" s="22">
        <f t="shared" si="6"/>
        <v>0</v>
      </c>
      <c r="Q118" s="22">
        <f t="shared" si="6"/>
        <v>113500</v>
      </c>
      <c r="R118" s="22">
        <f t="shared" si="6"/>
        <v>0</v>
      </c>
      <c r="S118" s="24">
        <f t="shared" si="6"/>
        <v>124550.73285000004</v>
      </c>
      <c r="T118" s="25">
        <f t="shared" si="6"/>
        <v>464632.48748333351</v>
      </c>
      <c r="U118" s="1"/>
      <c r="V118" s="1"/>
      <c r="W118" s="1"/>
      <c r="X118" s="1"/>
      <c r="Y118" s="1"/>
      <c r="Z118" s="1"/>
    </row>
    <row r="119" spans="1:26" ht="21.75" customHeight="1" x14ac:dyDescent="0.65"/>
    <row r="120" spans="1:26" ht="21.75" customHeight="1" x14ac:dyDescent="0.65"/>
    <row r="121" spans="1:26" ht="21.75" customHeight="1" x14ac:dyDescent="0.65"/>
    <row r="122" spans="1:26" ht="21.75" customHeight="1" x14ac:dyDescent="0.65"/>
    <row r="123" spans="1:26" ht="21.75" customHeight="1" x14ac:dyDescent="0.65"/>
    <row r="124" spans="1:26" ht="21.75" customHeight="1" x14ac:dyDescent="0.65"/>
    <row r="125" spans="1:26" ht="21.75" customHeight="1" x14ac:dyDescent="0.65"/>
    <row r="126" spans="1:26" ht="21.75" customHeight="1" x14ac:dyDescent="0.65"/>
    <row r="127" spans="1:26" ht="21.75" customHeight="1" x14ac:dyDescent="0.65"/>
    <row r="128" spans="1:26" ht="21.75" customHeight="1" x14ac:dyDescent="0.65"/>
    <row r="129" ht="21.75" customHeight="1" x14ac:dyDescent="0.65"/>
    <row r="130" ht="21.75" customHeight="1" x14ac:dyDescent="0.65"/>
    <row r="131" ht="21.75" customHeight="1" x14ac:dyDescent="0.65"/>
    <row r="132" ht="21.75" customHeight="1" x14ac:dyDescent="0.65"/>
    <row r="133" ht="21.75" customHeight="1" x14ac:dyDescent="0.65"/>
    <row r="134" ht="21.75" customHeight="1" x14ac:dyDescent="0.65"/>
    <row r="135" ht="21.75" customHeight="1" x14ac:dyDescent="0.65"/>
    <row r="136" ht="21.75" customHeight="1" x14ac:dyDescent="0.65"/>
    <row r="137" ht="21.75" customHeight="1" x14ac:dyDescent="0.65"/>
    <row r="138" ht="21.75" customHeight="1" x14ac:dyDescent="0.65"/>
    <row r="139" ht="21.75" customHeight="1" x14ac:dyDescent="0.65"/>
    <row r="140" ht="21.75" customHeight="1" x14ac:dyDescent="0.65"/>
    <row r="141" ht="21.75" customHeight="1" x14ac:dyDescent="0.65"/>
    <row r="142" ht="21.75" customHeight="1" x14ac:dyDescent="0.65"/>
    <row r="143" ht="21.75" customHeight="1" x14ac:dyDescent="0.65"/>
    <row r="144" ht="21.75" customHeight="1" x14ac:dyDescent="0.65"/>
    <row r="145" ht="21.75" customHeight="1" x14ac:dyDescent="0.65"/>
    <row r="146" ht="21.75" customHeight="1" x14ac:dyDescent="0.65"/>
    <row r="147" ht="21.75" customHeight="1" x14ac:dyDescent="0.65"/>
    <row r="148" ht="21.75" customHeight="1" x14ac:dyDescent="0.65"/>
    <row r="149" ht="21.75" customHeight="1" x14ac:dyDescent="0.65"/>
    <row r="150" ht="21.75" customHeight="1" x14ac:dyDescent="0.65"/>
    <row r="151" ht="21.75" customHeight="1" x14ac:dyDescent="0.65"/>
    <row r="152" ht="21.75" customHeight="1" x14ac:dyDescent="0.65"/>
    <row r="153" ht="21.75" customHeight="1" x14ac:dyDescent="0.65"/>
    <row r="154" ht="21.75" customHeight="1" x14ac:dyDescent="0.65"/>
    <row r="155" ht="21.75" customHeight="1" x14ac:dyDescent="0.65"/>
    <row r="156" ht="21.75" customHeight="1" x14ac:dyDescent="0.65"/>
    <row r="157" ht="21.75" customHeight="1" x14ac:dyDescent="0.65"/>
    <row r="158" ht="21.75" customHeight="1" x14ac:dyDescent="0.65"/>
    <row r="159" ht="21.75" customHeight="1" x14ac:dyDescent="0.65"/>
    <row r="160" ht="21.75" customHeight="1" x14ac:dyDescent="0.65"/>
    <row r="161" ht="21.75" customHeight="1" x14ac:dyDescent="0.65"/>
    <row r="162" ht="21.75" customHeight="1" x14ac:dyDescent="0.65"/>
    <row r="163" ht="21.75" customHeight="1" x14ac:dyDescent="0.65"/>
    <row r="164" ht="21.75" customHeight="1" x14ac:dyDescent="0.65"/>
    <row r="165" ht="21.75" customHeight="1" x14ac:dyDescent="0.65"/>
    <row r="166" ht="21.75" customHeight="1" x14ac:dyDescent="0.65"/>
    <row r="167" ht="21.75" customHeight="1" x14ac:dyDescent="0.65"/>
    <row r="168" ht="21.75" customHeight="1" x14ac:dyDescent="0.65"/>
    <row r="169" ht="21.75" customHeight="1" x14ac:dyDescent="0.65"/>
    <row r="170" ht="21.75" customHeight="1" x14ac:dyDescent="0.65"/>
    <row r="171" ht="21.75" customHeight="1" x14ac:dyDescent="0.65"/>
    <row r="172" ht="21.75" customHeight="1" x14ac:dyDescent="0.65"/>
    <row r="173" ht="21.75" customHeight="1" x14ac:dyDescent="0.65"/>
    <row r="174" ht="21.75" customHeight="1" x14ac:dyDescent="0.65"/>
    <row r="175" ht="21.75" customHeight="1" x14ac:dyDescent="0.65"/>
    <row r="176" ht="21.75" customHeight="1" x14ac:dyDescent="0.65"/>
    <row r="177" ht="21.75" customHeight="1" x14ac:dyDescent="0.65"/>
    <row r="178" ht="21.75" customHeight="1" x14ac:dyDescent="0.65"/>
    <row r="179" ht="21.75" customHeight="1" x14ac:dyDescent="0.65"/>
    <row r="180" ht="21.75" customHeight="1" x14ac:dyDescent="0.65"/>
    <row r="181" ht="21.75" customHeight="1" x14ac:dyDescent="0.65"/>
    <row r="182" ht="21.75" customHeight="1" x14ac:dyDescent="0.65"/>
    <row r="183" ht="21.75" customHeight="1" x14ac:dyDescent="0.65"/>
    <row r="184" ht="21.75" customHeight="1" x14ac:dyDescent="0.65"/>
    <row r="185" ht="21.75" customHeight="1" x14ac:dyDescent="0.65"/>
    <row r="186" ht="21.75" customHeight="1" x14ac:dyDescent="0.65"/>
    <row r="187" ht="21.75" customHeight="1" x14ac:dyDescent="0.65"/>
    <row r="188" ht="21.75" customHeight="1" x14ac:dyDescent="0.65"/>
    <row r="189" ht="21.75" customHeight="1" x14ac:dyDescent="0.65"/>
    <row r="190" ht="21.75" customHeight="1" x14ac:dyDescent="0.65"/>
    <row r="191" ht="21.75" customHeight="1" x14ac:dyDescent="0.65"/>
    <row r="192" ht="21.75" customHeight="1" x14ac:dyDescent="0.65"/>
    <row r="193" ht="21.75" customHeight="1" x14ac:dyDescent="0.65"/>
    <row r="194" ht="21.75" customHeight="1" x14ac:dyDescent="0.65"/>
    <row r="195" ht="21.75" customHeight="1" x14ac:dyDescent="0.65"/>
    <row r="196" ht="21.75" customHeight="1" x14ac:dyDescent="0.65"/>
    <row r="197" ht="21.75" customHeight="1" x14ac:dyDescent="0.65"/>
    <row r="198" ht="21.75" customHeight="1" x14ac:dyDescent="0.65"/>
    <row r="199" ht="21.75" customHeight="1" x14ac:dyDescent="0.65"/>
    <row r="200" ht="21.75" customHeight="1" x14ac:dyDescent="0.65"/>
    <row r="201" ht="21.75" customHeight="1" x14ac:dyDescent="0.65"/>
    <row r="202" ht="21.75" customHeight="1" x14ac:dyDescent="0.65"/>
    <row r="203" ht="21.75" customHeight="1" x14ac:dyDescent="0.65"/>
    <row r="204" ht="21.75" customHeight="1" x14ac:dyDescent="0.65"/>
    <row r="205" ht="21.75" customHeight="1" x14ac:dyDescent="0.65"/>
    <row r="206" ht="21.75" customHeight="1" x14ac:dyDescent="0.65"/>
    <row r="207" ht="21.75" customHeight="1" x14ac:dyDescent="0.65"/>
    <row r="208" ht="21.75" customHeight="1" x14ac:dyDescent="0.65"/>
    <row r="209" ht="21.75" customHeight="1" x14ac:dyDescent="0.65"/>
    <row r="210" ht="21.75" customHeight="1" x14ac:dyDescent="0.65"/>
    <row r="211" ht="21.75" customHeight="1" x14ac:dyDescent="0.65"/>
    <row r="212" ht="21.75" customHeight="1" x14ac:dyDescent="0.65"/>
    <row r="213" ht="21.75" customHeight="1" x14ac:dyDescent="0.65"/>
    <row r="214" ht="21.75" customHeight="1" x14ac:dyDescent="0.65"/>
    <row r="215" ht="21.75" customHeight="1" x14ac:dyDescent="0.65"/>
    <row r="216" ht="21.75" customHeight="1" x14ac:dyDescent="0.65"/>
    <row r="217" ht="21.75" customHeight="1" x14ac:dyDescent="0.65"/>
    <row r="218" ht="21.75" customHeight="1" x14ac:dyDescent="0.65"/>
    <row r="219" ht="21.75" customHeight="1" x14ac:dyDescent="0.65"/>
    <row r="220" ht="21.75" customHeight="1" x14ac:dyDescent="0.65"/>
    <row r="221" ht="21.75" customHeight="1" x14ac:dyDescent="0.65"/>
    <row r="222" ht="21.75" customHeight="1" x14ac:dyDescent="0.65"/>
    <row r="223" ht="21.75" customHeight="1" x14ac:dyDescent="0.65"/>
    <row r="224" ht="21.75" customHeight="1" x14ac:dyDescent="0.65"/>
    <row r="225" ht="21.75" customHeight="1" x14ac:dyDescent="0.65"/>
    <row r="226" ht="21.75" customHeight="1" x14ac:dyDescent="0.65"/>
    <row r="227" ht="21.75" customHeight="1" x14ac:dyDescent="0.65"/>
    <row r="228" ht="21.75" customHeight="1" x14ac:dyDescent="0.65"/>
    <row r="229" ht="21.75" customHeight="1" x14ac:dyDescent="0.65"/>
    <row r="230" ht="21.75" customHeight="1" x14ac:dyDescent="0.65"/>
    <row r="231" ht="21.75" customHeight="1" x14ac:dyDescent="0.65"/>
    <row r="232" ht="21.75" customHeight="1" x14ac:dyDescent="0.65"/>
    <row r="233" ht="21.75" customHeight="1" x14ac:dyDescent="0.65"/>
    <row r="234" ht="21.75" customHeight="1" x14ac:dyDescent="0.65"/>
    <row r="235" ht="21.75" customHeight="1" x14ac:dyDescent="0.65"/>
    <row r="236" ht="21.75" customHeight="1" x14ac:dyDescent="0.65"/>
    <row r="237" ht="21.75" customHeight="1" x14ac:dyDescent="0.65"/>
    <row r="238" ht="21.75" customHeight="1" x14ac:dyDescent="0.65"/>
    <row r="239" ht="21.75" customHeight="1" x14ac:dyDescent="0.65"/>
    <row r="240" ht="21.75" customHeight="1" x14ac:dyDescent="0.65"/>
    <row r="241" ht="21.75" customHeight="1" x14ac:dyDescent="0.65"/>
    <row r="242" ht="21.75" customHeight="1" x14ac:dyDescent="0.65"/>
    <row r="243" ht="21.75" customHeight="1" x14ac:dyDescent="0.65"/>
    <row r="244" ht="21.75" customHeight="1" x14ac:dyDescent="0.65"/>
    <row r="245" ht="21.75" customHeight="1" x14ac:dyDescent="0.65"/>
    <row r="246" ht="21.75" customHeight="1" x14ac:dyDescent="0.65"/>
    <row r="247" ht="21.75" customHeight="1" x14ac:dyDescent="0.65"/>
    <row r="248" ht="21.75" customHeight="1" x14ac:dyDescent="0.65"/>
    <row r="249" ht="21.75" customHeight="1" x14ac:dyDescent="0.65"/>
    <row r="250" ht="21.75" customHeight="1" x14ac:dyDescent="0.65"/>
    <row r="251" ht="21.75" customHeight="1" x14ac:dyDescent="0.65"/>
    <row r="252" ht="21.75" customHeight="1" x14ac:dyDescent="0.65"/>
    <row r="253" ht="21.75" customHeight="1" x14ac:dyDescent="0.65"/>
    <row r="254" ht="21.75" customHeight="1" x14ac:dyDescent="0.65"/>
    <row r="255" ht="21.75" customHeight="1" x14ac:dyDescent="0.65"/>
    <row r="256" ht="21.75" customHeight="1" x14ac:dyDescent="0.65"/>
    <row r="257" ht="21.75" customHeight="1" x14ac:dyDescent="0.65"/>
    <row r="258" ht="21.75" customHeight="1" x14ac:dyDescent="0.65"/>
    <row r="259" ht="21.75" customHeight="1" x14ac:dyDescent="0.65"/>
    <row r="260" ht="21.75" customHeight="1" x14ac:dyDescent="0.65"/>
    <row r="261" ht="21.75" customHeight="1" x14ac:dyDescent="0.65"/>
    <row r="262" ht="21.75" customHeight="1" x14ac:dyDescent="0.65"/>
    <row r="263" ht="21.75" customHeight="1" x14ac:dyDescent="0.65"/>
    <row r="264" ht="21.75" customHeight="1" x14ac:dyDescent="0.65"/>
    <row r="265" ht="21.75" customHeight="1" x14ac:dyDescent="0.65"/>
    <row r="266" ht="21.75" customHeight="1" x14ac:dyDescent="0.65"/>
    <row r="267" ht="21.75" customHeight="1" x14ac:dyDescent="0.65"/>
    <row r="268" ht="21.75" customHeight="1" x14ac:dyDescent="0.65"/>
    <row r="269" ht="21.75" customHeight="1" x14ac:dyDescent="0.65"/>
    <row r="270" ht="21.75" customHeight="1" x14ac:dyDescent="0.65"/>
    <row r="271" ht="21.75" customHeight="1" x14ac:dyDescent="0.65"/>
    <row r="272" ht="21.75" customHeight="1" x14ac:dyDescent="0.65"/>
    <row r="273" ht="21.75" customHeight="1" x14ac:dyDescent="0.65"/>
    <row r="274" ht="21.75" customHeight="1" x14ac:dyDescent="0.65"/>
    <row r="275" ht="21.75" customHeight="1" x14ac:dyDescent="0.65"/>
    <row r="276" ht="21.75" customHeight="1" x14ac:dyDescent="0.65"/>
    <row r="277" ht="21.75" customHeight="1" x14ac:dyDescent="0.65"/>
    <row r="278" ht="21.75" customHeight="1" x14ac:dyDescent="0.65"/>
    <row r="279" ht="21.75" customHeight="1" x14ac:dyDescent="0.65"/>
    <row r="280" ht="21.75" customHeight="1" x14ac:dyDescent="0.65"/>
    <row r="281" ht="21.75" customHeight="1" x14ac:dyDescent="0.65"/>
    <row r="282" ht="21.75" customHeight="1" x14ac:dyDescent="0.65"/>
    <row r="283" ht="21.75" customHeight="1" x14ac:dyDescent="0.65"/>
    <row r="284" ht="21.75" customHeight="1" x14ac:dyDescent="0.65"/>
    <row r="285" ht="21.75" customHeight="1" x14ac:dyDescent="0.65"/>
    <row r="286" ht="21.75" customHeight="1" x14ac:dyDescent="0.65"/>
    <row r="287" ht="21.75" customHeight="1" x14ac:dyDescent="0.65"/>
    <row r="288" ht="21.75" customHeight="1" x14ac:dyDescent="0.65"/>
    <row r="289" ht="21.75" customHeight="1" x14ac:dyDescent="0.65"/>
    <row r="290" ht="21.75" customHeight="1" x14ac:dyDescent="0.65"/>
    <row r="291" ht="21.75" customHeight="1" x14ac:dyDescent="0.65"/>
    <row r="292" ht="21.75" customHeight="1" x14ac:dyDescent="0.65"/>
    <row r="293" ht="21.75" customHeight="1" x14ac:dyDescent="0.65"/>
    <row r="294" ht="21.75" customHeight="1" x14ac:dyDescent="0.65"/>
    <row r="295" ht="21.75" customHeight="1" x14ac:dyDescent="0.65"/>
    <row r="296" ht="21.75" customHeight="1" x14ac:dyDescent="0.65"/>
    <row r="297" ht="21.75" customHeight="1" x14ac:dyDescent="0.65"/>
    <row r="298" ht="21.75" customHeight="1" x14ac:dyDescent="0.65"/>
    <row r="299" ht="21.75" customHeight="1" x14ac:dyDescent="0.65"/>
    <row r="300" ht="21.75" customHeight="1" x14ac:dyDescent="0.65"/>
    <row r="301" ht="21.75" customHeight="1" x14ac:dyDescent="0.65"/>
    <row r="302" ht="21.75" customHeight="1" x14ac:dyDescent="0.65"/>
    <row r="303" ht="21.75" customHeight="1" x14ac:dyDescent="0.65"/>
    <row r="304" ht="21.75" customHeight="1" x14ac:dyDescent="0.65"/>
    <row r="305" ht="21.75" customHeight="1" x14ac:dyDescent="0.65"/>
    <row r="306" ht="21.75" customHeight="1" x14ac:dyDescent="0.65"/>
    <row r="307" ht="21.75" customHeight="1" x14ac:dyDescent="0.65"/>
    <row r="308" ht="21.75" customHeight="1" x14ac:dyDescent="0.65"/>
    <row r="309" ht="21.75" customHeight="1" x14ac:dyDescent="0.65"/>
    <row r="310" ht="21.75" customHeight="1" x14ac:dyDescent="0.65"/>
    <row r="311" ht="21.75" customHeight="1" x14ac:dyDescent="0.65"/>
    <row r="312" ht="21.75" customHeight="1" x14ac:dyDescent="0.65"/>
    <row r="313" ht="21.75" customHeight="1" x14ac:dyDescent="0.65"/>
    <row r="314" ht="21.75" customHeight="1" x14ac:dyDescent="0.65"/>
    <row r="315" ht="21.75" customHeight="1" x14ac:dyDescent="0.65"/>
    <row r="316" ht="21.75" customHeight="1" x14ac:dyDescent="0.65"/>
    <row r="317" ht="21.75" customHeight="1" x14ac:dyDescent="0.65"/>
    <row r="318" ht="21.75" customHeight="1" x14ac:dyDescent="0.65"/>
    <row r="319" ht="21.75" customHeight="1" x14ac:dyDescent="0.65"/>
    <row r="320" ht="21.75" customHeight="1" x14ac:dyDescent="0.65"/>
    <row r="321" ht="21.75" customHeight="1" x14ac:dyDescent="0.65"/>
    <row r="322" ht="21.75" customHeight="1" x14ac:dyDescent="0.65"/>
    <row r="323" ht="21.75" customHeight="1" x14ac:dyDescent="0.65"/>
    <row r="324" ht="21.75" customHeight="1" x14ac:dyDescent="0.65"/>
    <row r="325" ht="21.75" customHeight="1" x14ac:dyDescent="0.65"/>
    <row r="326" ht="21.75" customHeight="1" x14ac:dyDescent="0.65"/>
    <row r="327" ht="21.75" customHeight="1" x14ac:dyDescent="0.65"/>
    <row r="328" ht="21.75" customHeight="1" x14ac:dyDescent="0.65"/>
    <row r="329" ht="21.75" customHeight="1" x14ac:dyDescent="0.65"/>
    <row r="330" ht="21.75" customHeight="1" x14ac:dyDescent="0.65"/>
    <row r="331" ht="21.75" customHeight="1" x14ac:dyDescent="0.65"/>
    <row r="332" ht="21.75" customHeight="1" x14ac:dyDescent="0.65"/>
    <row r="333" ht="21.75" customHeight="1" x14ac:dyDescent="0.65"/>
    <row r="334" ht="21.75" customHeight="1" x14ac:dyDescent="0.65"/>
    <row r="335" ht="21.75" customHeight="1" x14ac:dyDescent="0.65"/>
    <row r="336" ht="21.75" customHeight="1" x14ac:dyDescent="0.65"/>
    <row r="337" ht="21.75" customHeight="1" x14ac:dyDescent="0.65"/>
    <row r="338" ht="21.75" customHeight="1" x14ac:dyDescent="0.65"/>
    <row r="339" ht="21.75" customHeight="1" x14ac:dyDescent="0.65"/>
    <row r="340" ht="21.75" customHeight="1" x14ac:dyDescent="0.65"/>
    <row r="341" ht="21.75" customHeight="1" x14ac:dyDescent="0.65"/>
    <row r="342" ht="21.75" customHeight="1" x14ac:dyDescent="0.65"/>
    <row r="343" ht="21.75" customHeight="1" x14ac:dyDescent="0.65"/>
    <row r="344" ht="21.75" customHeight="1" x14ac:dyDescent="0.65"/>
    <row r="345" ht="21.75" customHeight="1" x14ac:dyDescent="0.65"/>
    <row r="346" ht="21.75" customHeight="1" x14ac:dyDescent="0.65"/>
    <row r="347" ht="21.75" customHeight="1" x14ac:dyDescent="0.65"/>
    <row r="348" ht="21.75" customHeight="1" x14ac:dyDescent="0.65"/>
    <row r="349" ht="21.75" customHeight="1" x14ac:dyDescent="0.65"/>
    <row r="350" ht="21.75" customHeight="1" x14ac:dyDescent="0.65"/>
    <row r="351" ht="21.75" customHeight="1" x14ac:dyDescent="0.65"/>
    <row r="352" ht="21.75" customHeight="1" x14ac:dyDescent="0.65"/>
    <row r="353" ht="21.75" customHeight="1" x14ac:dyDescent="0.65"/>
    <row r="354" ht="21.75" customHeight="1" x14ac:dyDescent="0.65"/>
    <row r="355" ht="21.75" customHeight="1" x14ac:dyDescent="0.65"/>
    <row r="356" ht="21.75" customHeight="1" x14ac:dyDescent="0.65"/>
    <row r="357" ht="21.75" customHeight="1" x14ac:dyDescent="0.65"/>
    <row r="358" ht="21.75" customHeight="1" x14ac:dyDescent="0.65"/>
    <row r="359" ht="21.75" customHeight="1" x14ac:dyDescent="0.65"/>
    <row r="360" ht="21.75" customHeight="1" x14ac:dyDescent="0.65"/>
    <row r="361" ht="21.75" customHeight="1" x14ac:dyDescent="0.65"/>
    <row r="362" ht="21.75" customHeight="1" x14ac:dyDescent="0.65"/>
    <row r="363" ht="21.75" customHeight="1" x14ac:dyDescent="0.65"/>
    <row r="364" ht="21.75" customHeight="1" x14ac:dyDescent="0.65"/>
    <row r="365" ht="21.75" customHeight="1" x14ac:dyDescent="0.65"/>
    <row r="366" ht="21.75" customHeight="1" x14ac:dyDescent="0.65"/>
    <row r="367" ht="21.75" customHeight="1" x14ac:dyDescent="0.65"/>
    <row r="368" ht="21.75" customHeight="1" x14ac:dyDescent="0.65"/>
    <row r="369" ht="21.75" customHeight="1" x14ac:dyDescent="0.65"/>
    <row r="370" ht="21.75" customHeight="1" x14ac:dyDescent="0.65"/>
    <row r="371" ht="21.75" customHeight="1" x14ac:dyDescent="0.65"/>
    <row r="372" ht="21.75" customHeight="1" x14ac:dyDescent="0.65"/>
    <row r="373" ht="21.75" customHeight="1" x14ac:dyDescent="0.65"/>
    <row r="374" ht="21.75" customHeight="1" x14ac:dyDescent="0.65"/>
    <row r="375" ht="21.75" customHeight="1" x14ac:dyDescent="0.65"/>
    <row r="376" ht="21.75" customHeight="1" x14ac:dyDescent="0.65"/>
    <row r="377" ht="21.75" customHeight="1" x14ac:dyDescent="0.65"/>
    <row r="378" ht="21.75" customHeight="1" x14ac:dyDescent="0.65"/>
    <row r="379" ht="21.75" customHeight="1" x14ac:dyDescent="0.65"/>
    <row r="380" ht="21.75" customHeight="1" x14ac:dyDescent="0.65"/>
    <row r="381" ht="21.75" customHeight="1" x14ac:dyDescent="0.65"/>
    <row r="382" ht="21.75" customHeight="1" x14ac:dyDescent="0.65"/>
    <row r="383" ht="21.75" customHeight="1" x14ac:dyDescent="0.65"/>
    <row r="384" ht="21.75" customHeight="1" x14ac:dyDescent="0.65"/>
    <row r="385" ht="21.75" customHeight="1" x14ac:dyDescent="0.65"/>
    <row r="386" ht="21.75" customHeight="1" x14ac:dyDescent="0.65"/>
    <row r="387" ht="21.75" customHeight="1" x14ac:dyDescent="0.65"/>
    <row r="388" ht="21.75" customHeight="1" x14ac:dyDescent="0.65"/>
    <row r="389" ht="21.75" customHeight="1" x14ac:dyDescent="0.65"/>
    <row r="390" ht="21.75" customHeight="1" x14ac:dyDescent="0.65"/>
    <row r="391" ht="21.75" customHeight="1" x14ac:dyDescent="0.65"/>
    <row r="392" ht="21.75" customHeight="1" x14ac:dyDescent="0.65"/>
    <row r="393" ht="21.75" customHeight="1" x14ac:dyDescent="0.65"/>
    <row r="394" ht="21.75" customHeight="1" x14ac:dyDescent="0.65"/>
    <row r="395" ht="21.75" customHeight="1" x14ac:dyDescent="0.65"/>
    <row r="396" ht="21.75" customHeight="1" x14ac:dyDescent="0.65"/>
    <row r="397" ht="21.75" customHeight="1" x14ac:dyDescent="0.65"/>
    <row r="398" ht="21.75" customHeight="1" x14ac:dyDescent="0.65"/>
    <row r="399" ht="21.75" customHeight="1" x14ac:dyDescent="0.65"/>
    <row r="400" ht="21.75" customHeight="1" x14ac:dyDescent="0.65"/>
    <row r="401" ht="21.75" customHeight="1" x14ac:dyDescent="0.65"/>
    <row r="402" ht="21.75" customHeight="1" x14ac:dyDescent="0.65"/>
    <row r="403" ht="21.75" customHeight="1" x14ac:dyDescent="0.65"/>
    <row r="404" ht="21.75" customHeight="1" x14ac:dyDescent="0.65"/>
    <row r="405" ht="21.75" customHeight="1" x14ac:dyDescent="0.65"/>
    <row r="406" ht="21.75" customHeight="1" x14ac:dyDescent="0.65"/>
    <row r="407" ht="21.75" customHeight="1" x14ac:dyDescent="0.65"/>
    <row r="408" ht="21.75" customHeight="1" x14ac:dyDescent="0.65"/>
    <row r="409" ht="21.75" customHeight="1" x14ac:dyDescent="0.65"/>
    <row r="410" ht="21.75" customHeight="1" x14ac:dyDescent="0.65"/>
    <row r="411" ht="21.75" customHeight="1" x14ac:dyDescent="0.65"/>
    <row r="412" ht="21.75" customHeight="1" x14ac:dyDescent="0.65"/>
    <row r="413" ht="21.75" customHeight="1" x14ac:dyDescent="0.65"/>
    <row r="414" ht="21.75" customHeight="1" x14ac:dyDescent="0.65"/>
    <row r="415" ht="21.75" customHeight="1" x14ac:dyDescent="0.65"/>
    <row r="416" ht="21.75" customHeight="1" x14ac:dyDescent="0.65"/>
    <row r="417" ht="21.75" customHeight="1" x14ac:dyDescent="0.65"/>
    <row r="418" ht="21.75" customHeight="1" x14ac:dyDescent="0.65"/>
    <row r="419" ht="21.75" customHeight="1" x14ac:dyDescent="0.65"/>
    <row r="420" ht="21.75" customHeight="1" x14ac:dyDescent="0.65"/>
    <row r="421" ht="21.75" customHeight="1" x14ac:dyDescent="0.65"/>
    <row r="422" ht="21.75" customHeight="1" x14ac:dyDescent="0.65"/>
    <row r="423" ht="21.75" customHeight="1" x14ac:dyDescent="0.65"/>
    <row r="424" ht="21.75" customHeight="1" x14ac:dyDescent="0.65"/>
    <row r="425" ht="21.75" customHeight="1" x14ac:dyDescent="0.65"/>
    <row r="426" ht="21.75" customHeight="1" x14ac:dyDescent="0.65"/>
    <row r="427" ht="21.75" customHeight="1" x14ac:dyDescent="0.65"/>
    <row r="428" ht="21.75" customHeight="1" x14ac:dyDescent="0.65"/>
    <row r="429" ht="21.75" customHeight="1" x14ac:dyDescent="0.65"/>
    <row r="430" ht="21.75" customHeight="1" x14ac:dyDescent="0.65"/>
    <row r="431" ht="21.75" customHeight="1" x14ac:dyDescent="0.65"/>
    <row r="432" ht="21.75" customHeight="1" x14ac:dyDescent="0.65"/>
    <row r="433" ht="21.75" customHeight="1" x14ac:dyDescent="0.65"/>
    <row r="434" ht="21.75" customHeight="1" x14ac:dyDescent="0.65"/>
    <row r="435" ht="21.75" customHeight="1" x14ac:dyDescent="0.65"/>
    <row r="436" ht="21.75" customHeight="1" x14ac:dyDescent="0.65"/>
    <row r="437" ht="21.75" customHeight="1" x14ac:dyDescent="0.65"/>
    <row r="438" ht="21.75" customHeight="1" x14ac:dyDescent="0.65"/>
    <row r="439" ht="21.75" customHeight="1" x14ac:dyDescent="0.65"/>
    <row r="440" ht="21.75" customHeight="1" x14ac:dyDescent="0.65"/>
    <row r="441" ht="21.75" customHeight="1" x14ac:dyDescent="0.65"/>
    <row r="442" ht="21.75" customHeight="1" x14ac:dyDescent="0.65"/>
    <row r="443" ht="21.75" customHeight="1" x14ac:dyDescent="0.65"/>
    <row r="444" ht="21.75" customHeight="1" x14ac:dyDescent="0.65"/>
    <row r="445" ht="21.75" customHeight="1" x14ac:dyDescent="0.65"/>
    <row r="446" ht="21.75" customHeight="1" x14ac:dyDescent="0.65"/>
    <row r="447" ht="21.75" customHeight="1" x14ac:dyDescent="0.65"/>
    <row r="448" ht="21.75" customHeight="1" x14ac:dyDescent="0.65"/>
    <row r="449" ht="21.75" customHeight="1" x14ac:dyDescent="0.65"/>
    <row r="450" ht="21.75" customHeight="1" x14ac:dyDescent="0.65"/>
    <row r="451" ht="21.75" customHeight="1" x14ac:dyDescent="0.65"/>
    <row r="452" ht="21.75" customHeight="1" x14ac:dyDescent="0.65"/>
    <row r="453" ht="21.75" customHeight="1" x14ac:dyDescent="0.65"/>
    <row r="454" ht="21.75" customHeight="1" x14ac:dyDescent="0.65"/>
    <row r="455" ht="21.75" customHeight="1" x14ac:dyDescent="0.65"/>
    <row r="456" ht="21.75" customHeight="1" x14ac:dyDescent="0.65"/>
    <row r="457" ht="21.75" customHeight="1" x14ac:dyDescent="0.65"/>
    <row r="458" ht="21.75" customHeight="1" x14ac:dyDescent="0.65"/>
    <row r="459" ht="21.75" customHeight="1" x14ac:dyDescent="0.65"/>
    <row r="460" ht="21.75" customHeight="1" x14ac:dyDescent="0.65"/>
    <row r="461" ht="21.75" customHeight="1" x14ac:dyDescent="0.65"/>
    <row r="462" ht="21.75" customHeight="1" x14ac:dyDescent="0.65"/>
    <row r="463" ht="21.75" customHeight="1" x14ac:dyDescent="0.65"/>
    <row r="464" ht="21.75" customHeight="1" x14ac:dyDescent="0.65"/>
    <row r="465" ht="21.75" customHeight="1" x14ac:dyDescent="0.65"/>
    <row r="466" ht="21.75" customHeight="1" x14ac:dyDescent="0.65"/>
    <row r="467" ht="21.75" customHeight="1" x14ac:dyDescent="0.65"/>
    <row r="468" ht="21.75" customHeight="1" x14ac:dyDescent="0.65"/>
    <row r="469" ht="21.75" customHeight="1" x14ac:dyDescent="0.65"/>
    <row r="470" ht="21.75" customHeight="1" x14ac:dyDescent="0.65"/>
    <row r="471" ht="21.75" customHeight="1" x14ac:dyDescent="0.65"/>
    <row r="472" ht="21.75" customHeight="1" x14ac:dyDescent="0.65"/>
    <row r="473" ht="21.75" customHeight="1" x14ac:dyDescent="0.65"/>
    <row r="474" ht="21.75" customHeight="1" x14ac:dyDescent="0.65"/>
    <row r="475" ht="21.75" customHeight="1" x14ac:dyDescent="0.65"/>
    <row r="476" ht="21.75" customHeight="1" x14ac:dyDescent="0.65"/>
    <row r="477" ht="21.75" customHeight="1" x14ac:dyDescent="0.65"/>
    <row r="478" ht="21.75" customHeight="1" x14ac:dyDescent="0.65"/>
    <row r="479" ht="21.75" customHeight="1" x14ac:dyDescent="0.65"/>
    <row r="480" ht="21.75" customHeight="1" x14ac:dyDescent="0.65"/>
    <row r="481" ht="21.75" customHeight="1" x14ac:dyDescent="0.65"/>
    <row r="482" ht="21.75" customHeight="1" x14ac:dyDescent="0.65"/>
    <row r="483" ht="21.75" customHeight="1" x14ac:dyDescent="0.65"/>
    <row r="484" ht="21.75" customHeight="1" x14ac:dyDescent="0.65"/>
    <row r="485" ht="21.75" customHeight="1" x14ac:dyDescent="0.65"/>
    <row r="486" ht="21.75" customHeight="1" x14ac:dyDescent="0.65"/>
    <row r="487" ht="21.75" customHeight="1" x14ac:dyDescent="0.65"/>
    <row r="488" ht="21.75" customHeight="1" x14ac:dyDescent="0.65"/>
    <row r="489" ht="21.75" customHeight="1" x14ac:dyDescent="0.65"/>
    <row r="490" ht="21.75" customHeight="1" x14ac:dyDescent="0.65"/>
    <row r="491" ht="21.75" customHeight="1" x14ac:dyDescent="0.65"/>
    <row r="492" ht="21.75" customHeight="1" x14ac:dyDescent="0.65"/>
    <row r="493" ht="21.75" customHeight="1" x14ac:dyDescent="0.65"/>
    <row r="494" ht="21.75" customHeight="1" x14ac:dyDescent="0.65"/>
    <row r="495" ht="21.75" customHeight="1" x14ac:dyDescent="0.65"/>
    <row r="496" ht="21.75" customHeight="1" x14ac:dyDescent="0.65"/>
    <row r="497" ht="21.75" customHeight="1" x14ac:dyDescent="0.65"/>
    <row r="498" ht="21.75" customHeight="1" x14ac:dyDescent="0.65"/>
    <row r="499" ht="21.75" customHeight="1" x14ac:dyDescent="0.65"/>
    <row r="500" ht="21.75" customHeight="1" x14ac:dyDescent="0.65"/>
    <row r="501" ht="21.75" customHeight="1" x14ac:dyDescent="0.65"/>
    <row r="502" ht="21.75" customHeight="1" x14ac:dyDescent="0.65"/>
    <row r="503" ht="21.75" customHeight="1" x14ac:dyDescent="0.65"/>
    <row r="504" ht="21.75" customHeight="1" x14ac:dyDescent="0.65"/>
    <row r="505" ht="21.75" customHeight="1" x14ac:dyDescent="0.65"/>
    <row r="506" ht="21.75" customHeight="1" x14ac:dyDescent="0.65"/>
    <row r="507" ht="21.75" customHeight="1" x14ac:dyDescent="0.65"/>
    <row r="508" ht="21.75" customHeight="1" x14ac:dyDescent="0.65"/>
    <row r="509" ht="21.75" customHeight="1" x14ac:dyDescent="0.65"/>
    <row r="510" ht="21.75" customHeight="1" x14ac:dyDescent="0.65"/>
    <row r="511" ht="21.75" customHeight="1" x14ac:dyDescent="0.65"/>
    <row r="512" ht="21.75" customHeight="1" x14ac:dyDescent="0.65"/>
    <row r="513" ht="21.75" customHeight="1" x14ac:dyDescent="0.65"/>
    <row r="514" ht="21.75" customHeight="1" x14ac:dyDescent="0.65"/>
    <row r="515" ht="21.75" customHeight="1" x14ac:dyDescent="0.65"/>
    <row r="516" ht="21.75" customHeight="1" x14ac:dyDescent="0.65"/>
    <row r="517" ht="21.75" customHeight="1" x14ac:dyDescent="0.65"/>
    <row r="518" ht="21.75" customHeight="1" x14ac:dyDescent="0.65"/>
    <row r="519" ht="21.75" customHeight="1" x14ac:dyDescent="0.65"/>
    <row r="520" ht="21.75" customHeight="1" x14ac:dyDescent="0.65"/>
    <row r="521" ht="21.75" customHeight="1" x14ac:dyDescent="0.65"/>
    <row r="522" ht="21.75" customHeight="1" x14ac:dyDescent="0.65"/>
    <row r="523" ht="21.75" customHeight="1" x14ac:dyDescent="0.65"/>
    <row r="524" ht="21.75" customHeight="1" x14ac:dyDescent="0.65"/>
    <row r="525" ht="21.75" customHeight="1" x14ac:dyDescent="0.65"/>
    <row r="526" ht="21.75" customHeight="1" x14ac:dyDescent="0.65"/>
    <row r="527" ht="21.75" customHeight="1" x14ac:dyDescent="0.65"/>
    <row r="528" ht="21.75" customHeight="1" x14ac:dyDescent="0.65"/>
    <row r="529" ht="21.75" customHeight="1" x14ac:dyDescent="0.65"/>
    <row r="530" ht="21.75" customHeight="1" x14ac:dyDescent="0.65"/>
    <row r="531" ht="21.75" customHeight="1" x14ac:dyDescent="0.65"/>
    <row r="532" ht="21.75" customHeight="1" x14ac:dyDescent="0.65"/>
    <row r="533" ht="21.75" customHeight="1" x14ac:dyDescent="0.65"/>
    <row r="534" ht="21.75" customHeight="1" x14ac:dyDescent="0.65"/>
    <row r="535" ht="21.75" customHeight="1" x14ac:dyDescent="0.65"/>
    <row r="536" ht="21.75" customHeight="1" x14ac:dyDescent="0.65"/>
    <row r="537" ht="21.75" customHeight="1" x14ac:dyDescent="0.65"/>
    <row r="538" ht="21.75" customHeight="1" x14ac:dyDescent="0.65"/>
    <row r="539" ht="21.75" customHeight="1" x14ac:dyDescent="0.65"/>
    <row r="540" ht="21.75" customHeight="1" x14ac:dyDescent="0.65"/>
    <row r="541" ht="21.75" customHeight="1" x14ac:dyDescent="0.65"/>
    <row r="542" ht="21.75" customHeight="1" x14ac:dyDescent="0.65"/>
    <row r="543" ht="21.75" customHeight="1" x14ac:dyDescent="0.65"/>
    <row r="544" ht="21.75" customHeight="1" x14ac:dyDescent="0.65"/>
    <row r="545" ht="21.75" customHeight="1" x14ac:dyDescent="0.65"/>
    <row r="546" ht="21.75" customHeight="1" x14ac:dyDescent="0.65"/>
    <row r="547" ht="21.75" customHeight="1" x14ac:dyDescent="0.65"/>
    <row r="548" ht="21.75" customHeight="1" x14ac:dyDescent="0.65"/>
    <row r="549" ht="21.75" customHeight="1" x14ac:dyDescent="0.65"/>
    <row r="550" ht="21.75" customHeight="1" x14ac:dyDescent="0.65"/>
    <row r="551" ht="21.75" customHeight="1" x14ac:dyDescent="0.65"/>
    <row r="552" ht="21.75" customHeight="1" x14ac:dyDescent="0.65"/>
    <row r="553" ht="21.75" customHeight="1" x14ac:dyDescent="0.65"/>
    <row r="554" ht="21.75" customHeight="1" x14ac:dyDescent="0.65"/>
    <row r="555" ht="21.75" customHeight="1" x14ac:dyDescent="0.65"/>
    <row r="556" ht="21.75" customHeight="1" x14ac:dyDescent="0.65"/>
    <row r="557" ht="21.75" customHeight="1" x14ac:dyDescent="0.65"/>
    <row r="558" ht="21.75" customHeight="1" x14ac:dyDescent="0.65"/>
    <row r="559" ht="21.75" customHeight="1" x14ac:dyDescent="0.65"/>
    <row r="560" ht="21.75" customHeight="1" x14ac:dyDescent="0.65"/>
    <row r="561" ht="21.75" customHeight="1" x14ac:dyDescent="0.65"/>
    <row r="562" ht="21.75" customHeight="1" x14ac:dyDescent="0.65"/>
    <row r="563" ht="21.75" customHeight="1" x14ac:dyDescent="0.65"/>
    <row r="564" ht="21.75" customHeight="1" x14ac:dyDescent="0.65"/>
    <row r="565" ht="21.75" customHeight="1" x14ac:dyDescent="0.65"/>
    <row r="566" ht="21.75" customHeight="1" x14ac:dyDescent="0.65"/>
    <row r="567" ht="21.75" customHeight="1" x14ac:dyDescent="0.65"/>
    <row r="568" ht="21.75" customHeight="1" x14ac:dyDescent="0.65"/>
    <row r="569" ht="21.75" customHeight="1" x14ac:dyDescent="0.65"/>
    <row r="570" ht="21.75" customHeight="1" x14ac:dyDescent="0.65"/>
    <row r="571" ht="21.75" customHeight="1" x14ac:dyDescent="0.65"/>
    <row r="572" ht="21.75" customHeight="1" x14ac:dyDescent="0.65"/>
    <row r="573" ht="21.75" customHeight="1" x14ac:dyDescent="0.65"/>
    <row r="574" ht="21.75" customHeight="1" x14ac:dyDescent="0.65"/>
    <row r="575" ht="21.75" customHeight="1" x14ac:dyDescent="0.65"/>
    <row r="576" ht="21.75" customHeight="1" x14ac:dyDescent="0.65"/>
    <row r="577" ht="21.75" customHeight="1" x14ac:dyDescent="0.65"/>
    <row r="578" ht="21.75" customHeight="1" x14ac:dyDescent="0.65"/>
    <row r="579" ht="21.75" customHeight="1" x14ac:dyDescent="0.65"/>
    <row r="580" ht="21.75" customHeight="1" x14ac:dyDescent="0.65"/>
    <row r="581" ht="21.75" customHeight="1" x14ac:dyDescent="0.65"/>
    <row r="582" ht="21.75" customHeight="1" x14ac:dyDescent="0.65"/>
    <row r="583" ht="21.75" customHeight="1" x14ac:dyDescent="0.65"/>
    <row r="584" ht="21.75" customHeight="1" x14ac:dyDescent="0.65"/>
    <row r="585" ht="21.75" customHeight="1" x14ac:dyDescent="0.65"/>
    <row r="586" ht="21.75" customHeight="1" x14ac:dyDescent="0.65"/>
    <row r="587" ht="21.75" customHeight="1" x14ac:dyDescent="0.65"/>
    <row r="588" ht="21.75" customHeight="1" x14ac:dyDescent="0.65"/>
    <row r="589" ht="21.75" customHeight="1" x14ac:dyDescent="0.65"/>
    <row r="590" ht="21.75" customHeight="1" x14ac:dyDescent="0.65"/>
    <row r="591" ht="21.75" customHeight="1" x14ac:dyDescent="0.65"/>
    <row r="592" ht="21.75" customHeight="1" x14ac:dyDescent="0.65"/>
    <row r="593" ht="21.75" customHeight="1" x14ac:dyDescent="0.65"/>
    <row r="594" ht="21.75" customHeight="1" x14ac:dyDescent="0.65"/>
    <row r="595" ht="21.75" customHeight="1" x14ac:dyDescent="0.65"/>
    <row r="596" ht="21.75" customHeight="1" x14ac:dyDescent="0.65"/>
    <row r="597" ht="21.75" customHeight="1" x14ac:dyDescent="0.65"/>
    <row r="598" ht="21.75" customHeight="1" x14ac:dyDescent="0.65"/>
    <row r="599" ht="21.75" customHeight="1" x14ac:dyDescent="0.65"/>
    <row r="600" ht="21.75" customHeight="1" x14ac:dyDescent="0.65"/>
    <row r="601" ht="21.75" customHeight="1" x14ac:dyDescent="0.65"/>
    <row r="602" ht="21.75" customHeight="1" x14ac:dyDescent="0.65"/>
    <row r="603" ht="21.75" customHeight="1" x14ac:dyDescent="0.65"/>
    <row r="604" ht="21.75" customHeight="1" x14ac:dyDescent="0.65"/>
    <row r="605" ht="21.75" customHeight="1" x14ac:dyDescent="0.65"/>
    <row r="606" ht="21.75" customHeight="1" x14ac:dyDescent="0.65"/>
    <row r="607" ht="21.75" customHeight="1" x14ac:dyDescent="0.65"/>
    <row r="608" ht="21.75" customHeight="1" x14ac:dyDescent="0.65"/>
    <row r="609" ht="21.75" customHeight="1" x14ac:dyDescent="0.65"/>
    <row r="610" ht="21.75" customHeight="1" x14ac:dyDescent="0.65"/>
    <row r="611" ht="21.75" customHeight="1" x14ac:dyDescent="0.65"/>
    <row r="612" ht="21.75" customHeight="1" x14ac:dyDescent="0.65"/>
    <row r="613" ht="21.75" customHeight="1" x14ac:dyDescent="0.65"/>
    <row r="614" ht="21.75" customHeight="1" x14ac:dyDescent="0.65"/>
    <row r="615" ht="21.75" customHeight="1" x14ac:dyDescent="0.65"/>
    <row r="616" ht="21.75" customHeight="1" x14ac:dyDescent="0.65"/>
    <row r="617" ht="21.75" customHeight="1" x14ac:dyDescent="0.65"/>
    <row r="618" ht="21.75" customHeight="1" x14ac:dyDescent="0.65"/>
    <row r="619" ht="21.75" customHeight="1" x14ac:dyDescent="0.65"/>
    <row r="620" ht="21.75" customHeight="1" x14ac:dyDescent="0.65"/>
    <row r="621" ht="21.75" customHeight="1" x14ac:dyDescent="0.65"/>
    <row r="622" ht="21.75" customHeight="1" x14ac:dyDescent="0.65"/>
    <row r="623" ht="21.75" customHeight="1" x14ac:dyDescent="0.65"/>
    <row r="624" ht="21.75" customHeight="1" x14ac:dyDescent="0.65"/>
    <row r="625" ht="21.75" customHeight="1" x14ac:dyDescent="0.65"/>
    <row r="626" ht="21.75" customHeight="1" x14ac:dyDescent="0.65"/>
    <row r="627" ht="21.75" customHeight="1" x14ac:dyDescent="0.65"/>
    <row r="628" ht="21.75" customHeight="1" x14ac:dyDescent="0.65"/>
    <row r="629" ht="21.75" customHeight="1" x14ac:dyDescent="0.65"/>
    <row r="630" ht="21.75" customHeight="1" x14ac:dyDescent="0.65"/>
    <row r="631" ht="21.75" customHeight="1" x14ac:dyDescent="0.65"/>
    <row r="632" ht="21.75" customHeight="1" x14ac:dyDescent="0.65"/>
    <row r="633" ht="21.75" customHeight="1" x14ac:dyDescent="0.65"/>
    <row r="634" ht="21.75" customHeight="1" x14ac:dyDescent="0.65"/>
    <row r="635" ht="21.75" customHeight="1" x14ac:dyDescent="0.65"/>
    <row r="636" ht="21.75" customHeight="1" x14ac:dyDescent="0.65"/>
    <row r="637" ht="21.75" customHeight="1" x14ac:dyDescent="0.65"/>
    <row r="638" ht="21.75" customHeight="1" x14ac:dyDescent="0.65"/>
    <row r="639" ht="21.75" customHeight="1" x14ac:dyDescent="0.65"/>
    <row r="640" ht="21.75" customHeight="1" x14ac:dyDescent="0.65"/>
    <row r="641" ht="21.75" customHeight="1" x14ac:dyDescent="0.65"/>
    <row r="642" ht="21.75" customHeight="1" x14ac:dyDescent="0.65"/>
    <row r="643" ht="21.75" customHeight="1" x14ac:dyDescent="0.65"/>
    <row r="644" ht="21.75" customHeight="1" x14ac:dyDescent="0.65"/>
    <row r="645" ht="21.75" customHeight="1" x14ac:dyDescent="0.65"/>
    <row r="646" ht="21.75" customHeight="1" x14ac:dyDescent="0.65"/>
    <row r="647" ht="21.75" customHeight="1" x14ac:dyDescent="0.65"/>
    <row r="648" ht="21.75" customHeight="1" x14ac:dyDescent="0.65"/>
    <row r="649" ht="21.75" customHeight="1" x14ac:dyDescent="0.65"/>
    <row r="650" ht="21.75" customHeight="1" x14ac:dyDescent="0.65"/>
    <row r="651" ht="21.75" customHeight="1" x14ac:dyDescent="0.65"/>
    <row r="652" ht="21.75" customHeight="1" x14ac:dyDescent="0.65"/>
    <row r="653" ht="21.75" customHeight="1" x14ac:dyDescent="0.65"/>
    <row r="654" ht="21.75" customHeight="1" x14ac:dyDescent="0.65"/>
    <row r="655" ht="21.75" customHeight="1" x14ac:dyDescent="0.65"/>
    <row r="656" ht="21.75" customHeight="1" x14ac:dyDescent="0.65"/>
    <row r="657" ht="21.75" customHeight="1" x14ac:dyDescent="0.65"/>
    <row r="658" ht="21.75" customHeight="1" x14ac:dyDescent="0.65"/>
    <row r="659" ht="21.75" customHeight="1" x14ac:dyDescent="0.65"/>
    <row r="660" ht="21.75" customHeight="1" x14ac:dyDescent="0.65"/>
    <row r="661" ht="21.75" customHeight="1" x14ac:dyDescent="0.65"/>
    <row r="662" ht="21.75" customHeight="1" x14ac:dyDescent="0.65"/>
    <row r="663" ht="21.75" customHeight="1" x14ac:dyDescent="0.65"/>
    <row r="664" ht="21.75" customHeight="1" x14ac:dyDescent="0.65"/>
    <row r="665" ht="21.75" customHeight="1" x14ac:dyDescent="0.65"/>
    <row r="666" ht="21.75" customHeight="1" x14ac:dyDescent="0.65"/>
    <row r="667" ht="21.75" customHeight="1" x14ac:dyDescent="0.65"/>
    <row r="668" ht="21.75" customHeight="1" x14ac:dyDescent="0.65"/>
    <row r="669" ht="21.75" customHeight="1" x14ac:dyDescent="0.65"/>
    <row r="670" ht="21.75" customHeight="1" x14ac:dyDescent="0.65"/>
    <row r="671" ht="21.75" customHeight="1" x14ac:dyDescent="0.65"/>
    <row r="672" ht="21.75" customHeight="1" x14ac:dyDescent="0.65"/>
    <row r="673" ht="21.75" customHeight="1" x14ac:dyDescent="0.65"/>
    <row r="674" ht="21.75" customHeight="1" x14ac:dyDescent="0.65"/>
    <row r="675" ht="21.75" customHeight="1" x14ac:dyDescent="0.65"/>
    <row r="676" ht="21.75" customHeight="1" x14ac:dyDescent="0.65"/>
    <row r="677" ht="21.75" customHeight="1" x14ac:dyDescent="0.65"/>
    <row r="678" ht="21.75" customHeight="1" x14ac:dyDescent="0.65"/>
    <row r="679" ht="21.75" customHeight="1" x14ac:dyDescent="0.65"/>
    <row r="680" ht="21.75" customHeight="1" x14ac:dyDescent="0.65"/>
    <row r="681" ht="21.75" customHeight="1" x14ac:dyDescent="0.65"/>
    <row r="682" ht="21.75" customHeight="1" x14ac:dyDescent="0.65"/>
    <row r="683" ht="21.75" customHeight="1" x14ac:dyDescent="0.65"/>
    <row r="684" ht="21.75" customHeight="1" x14ac:dyDescent="0.65"/>
    <row r="685" ht="21.75" customHeight="1" x14ac:dyDescent="0.65"/>
    <row r="686" ht="21.75" customHeight="1" x14ac:dyDescent="0.65"/>
    <row r="687" ht="21.75" customHeight="1" x14ac:dyDescent="0.65"/>
    <row r="688" ht="21.75" customHeight="1" x14ac:dyDescent="0.65"/>
    <row r="689" ht="21.75" customHeight="1" x14ac:dyDescent="0.65"/>
    <row r="690" ht="21.75" customHeight="1" x14ac:dyDescent="0.65"/>
    <row r="691" ht="21.75" customHeight="1" x14ac:dyDescent="0.65"/>
    <row r="692" ht="21.75" customHeight="1" x14ac:dyDescent="0.65"/>
    <row r="693" ht="21.75" customHeight="1" x14ac:dyDescent="0.65"/>
    <row r="694" ht="21.75" customHeight="1" x14ac:dyDescent="0.65"/>
    <row r="695" ht="21.75" customHeight="1" x14ac:dyDescent="0.65"/>
    <row r="696" ht="21.75" customHeight="1" x14ac:dyDescent="0.65"/>
    <row r="697" ht="21.75" customHeight="1" x14ac:dyDescent="0.65"/>
    <row r="698" ht="21.75" customHeight="1" x14ac:dyDescent="0.65"/>
    <row r="699" ht="21.75" customHeight="1" x14ac:dyDescent="0.65"/>
    <row r="700" ht="21.75" customHeight="1" x14ac:dyDescent="0.65"/>
    <row r="701" ht="21.75" customHeight="1" x14ac:dyDescent="0.65"/>
    <row r="702" ht="21.75" customHeight="1" x14ac:dyDescent="0.65"/>
    <row r="703" ht="21.75" customHeight="1" x14ac:dyDescent="0.65"/>
    <row r="704" ht="21.75" customHeight="1" x14ac:dyDescent="0.65"/>
    <row r="705" ht="21.75" customHeight="1" x14ac:dyDescent="0.65"/>
    <row r="706" ht="21.75" customHeight="1" x14ac:dyDescent="0.65"/>
    <row r="707" ht="21.75" customHeight="1" x14ac:dyDescent="0.65"/>
    <row r="708" ht="21.75" customHeight="1" x14ac:dyDescent="0.65"/>
    <row r="709" ht="21.75" customHeight="1" x14ac:dyDescent="0.65"/>
    <row r="710" ht="21.75" customHeight="1" x14ac:dyDescent="0.65"/>
    <row r="711" ht="21.75" customHeight="1" x14ac:dyDescent="0.65"/>
    <row r="712" ht="21.75" customHeight="1" x14ac:dyDescent="0.65"/>
    <row r="713" ht="21.75" customHeight="1" x14ac:dyDescent="0.65"/>
    <row r="714" ht="21.75" customHeight="1" x14ac:dyDescent="0.65"/>
    <row r="715" ht="21.75" customHeight="1" x14ac:dyDescent="0.65"/>
    <row r="716" ht="21.75" customHeight="1" x14ac:dyDescent="0.65"/>
    <row r="717" ht="21.75" customHeight="1" x14ac:dyDescent="0.65"/>
    <row r="718" ht="21.75" customHeight="1" x14ac:dyDescent="0.65"/>
    <row r="719" ht="21.75" customHeight="1" x14ac:dyDescent="0.65"/>
    <row r="720" ht="21.75" customHeight="1" x14ac:dyDescent="0.65"/>
    <row r="721" ht="21.75" customHeight="1" x14ac:dyDescent="0.65"/>
    <row r="722" ht="21.75" customHeight="1" x14ac:dyDescent="0.65"/>
    <row r="723" ht="21.75" customHeight="1" x14ac:dyDescent="0.65"/>
    <row r="724" ht="21.75" customHeight="1" x14ac:dyDescent="0.65"/>
    <row r="725" ht="21.75" customHeight="1" x14ac:dyDescent="0.65"/>
    <row r="726" ht="21.75" customHeight="1" x14ac:dyDescent="0.65"/>
    <row r="727" ht="21.75" customHeight="1" x14ac:dyDescent="0.65"/>
    <row r="728" ht="21.75" customHeight="1" x14ac:dyDescent="0.65"/>
    <row r="729" ht="21.75" customHeight="1" x14ac:dyDescent="0.65"/>
    <row r="730" ht="21.75" customHeight="1" x14ac:dyDescent="0.65"/>
    <row r="731" ht="21.75" customHeight="1" x14ac:dyDescent="0.65"/>
    <row r="732" ht="21.75" customHeight="1" x14ac:dyDescent="0.65"/>
    <row r="733" ht="21.75" customHeight="1" x14ac:dyDescent="0.65"/>
    <row r="734" ht="21.75" customHeight="1" x14ac:dyDescent="0.65"/>
    <row r="735" ht="21.75" customHeight="1" x14ac:dyDescent="0.65"/>
    <row r="736" ht="21.75" customHeight="1" x14ac:dyDescent="0.65"/>
    <row r="737" ht="21.75" customHeight="1" x14ac:dyDescent="0.65"/>
    <row r="738" ht="21.75" customHeight="1" x14ac:dyDescent="0.65"/>
    <row r="739" ht="21.75" customHeight="1" x14ac:dyDescent="0.65"/>
    <row r="740" ht="21.75" customHeight="1" x14ac:dyDescent="0.65"/>
    <row r="741" ht="21.75" customHeight="1" x14ac:dyDescent="0.65"/>
    <row r="742" ht="21.75" customHeight="1" x14ac:dyDescent="0.65"/>
    <row r="743" ht="21.75" customHeight="1" x14ac:dyDescent="0.65"/>
    <row r="744" ht="21.75" customHeight="1" x14ac:dyDescent="0.65"/>
    <row r="745" ht="21.75" customHeight="1" x14ac:dyDescent="0.65"/>
    <row r="746" ht="21.75" customHeight="1" x14ac:dyDescent="0.65"/>
    <row r="747" ht="21.75" customHeight="1" x14ac:dyDescent="0.65"/>
    <row r="748" ht="21.75" customHeight="1" x14ac:dyDescent="0.65"/>
    <row r="749" ht="21.75" customHeight="1" x14ac:dyDescent="0.65"/>
    <row r="750" ht="21.75" customHeight="1" x14ac:dyDescent="0.65"/>
    <row r="751" ht="21.75" customHeight="1" x14ac:dyDescent="0.65"/>
    <row r="752" ht="21.75" customHeight="1" x14ac:dyDescent="0.65"/>
    <row r="753" ht="21.75" customHeight="1" x14ac:dyDescent="0.65"/>
    <row r="754" ht="21.75" customHeight="1" x14ac:dyDescent="0.65"/>
    <row r="755" ht="21.75" customHeight="1" x14ac:dyDescent="0.65"/>
    <row r="756" ht="21.75" customHeight="1" x14ac:dyDescent="0.65"/>
    <row r="757" ht="21.75" customHeight="1" x14ac:dyDescent="0.65"/>
    <row r="758" ht="21.75" customHeight="1" x14ac:dyDescent="0.65"/>
    <row r="759" ht="21.75" customHeight="1" x14ac:dyDescent="0.65"/>
    <row r="760" ht="21.75" customHeight="1" x14ac:dyDescent="0.65"/>
    <row r="761" ht="21.75" customHeight="1" x14ac:dyDescent="0.65"/>
    <row r="762" ht="21.75" customHeight="1" x14ac:dyDescent="0.65"/>
    <row r="763" ht="21.75" customHeight="1" x14ac:dyDescent="0.65"/>
    <row r="764" ht="21.75" customHeight="1" x14ac:dyDescent="0.65"/>
    <row r="765" ht="21.75" customHeight="1" x14ac:dyDescent="0.65"/>
    <row r="766" ht="21.75" customHeight="1" x14ac:dyDescent="0.65"/>
    <row r="767" ht="21.75" customHeight="1" x14ac:dyDescent="0.65"/>
    <row r="768" ht="21.75" customHeight="1" x14ac:dyDescent="0.65"/>
    <row r="769" ht="21.75" customHeight="1" x14ac:dyDescent="0.65"/>
    <row r="770" ht="21.75" customHeight="1" x14ac:dyDescent="0.65"/>
    <row r="771" ht="21.75" customHeight="1" x14ac:dyDescent="0.65"/>
    <row r="772" ht="21.75" customHeight="1" x14ac:dyDescent="0.65"/>
    <row r="773" ht="21.75" customHeight="1" x14ac:dyDescent="0.65"/>
    <row r="774" ht="21.75" customHeight="1" x14ac:dyDescent="0.65"/>
    <row r="775" ht="21.75" customHeight="1" x14ac:dyDescent="0.65"/>
    <row r="776" ht="21.75" customHeight="1" x14ac:dyDescent="0.65"/>
    <row r="777" ht="21.75" customHeight="1" x14ac:dyDescent="0.65"/>
    <row r="778" ht="21.75" customHeight="1" x14ac:dyDescent="0.65"/>
    <row r="779" ht="21.75" customHeight="1" x14ac:dyDescent="0.65"/>
    <row r="780" ht="21.75" customHeight="1" x14ac:dyDescent="0.65"/>
    <row r="781" ht="21.75" customHeight="1" x14ac:dyDescent="0.65"/>
    <row r="782" ht="21.75" customHeight="1" x14ac:dyDescent="0.65"/>
    <row r="783" ht="21.75" customHeight="1" x14ac:dyDescent="0.65"/>
    <row r="784" ht="21.75" customHeight="1" x14ac:dyDescent="0.65"/>
    <row r="785" ht="21.75" customHeight="1" x14ac:dyDescent="0.65"/>
    <row r="786" ht="21.75" customHeight="1" x14ac:dyDescent="0.65"/>
    <row r="787" ht="21.75" customHeight="1" x14ac:dyDescent="0.65"/>
    <row r="788" ht="21.75" customHeight="1" x14ac:dyDescent="0.65"/>
    <row r="789" ht="21.75" customHeight="1" x14ac:dyDescent="0.65"/>
    <row r="790" ht="21.75" customHeight="1" x14ac:dyDescent="0.65"/>
    <row r="791" ht="21.75" customHeight="1" x14ac:dyDescent="0.65"/>
    <row r="792" ht="21.75" customHeight="1" x14ac:dyDescent="0.65"/>
    <row r="793" ht="21.75" customHeight="1" x14ac:dyDescent="0.65"/>
    <row r="794" ht="21.75" customHeight="1" x14ac:dyDescent="0.65"/>
    <row r="795" ht="21.75" customHeight="1" x14ac:dyDescent="0.65"/>
    <row r="796" ht="21.75" customHeight="1" x14ac:dyDescent="0.65"/>
    <row r="797" ht="21.75" customHeight="1" x14ac:dyDescent="0.65"/>
    <row r="798" ht="21.75" customHeight="1" x14ac:dyDescent="0.65"/>
    <row r="799" ht="21.75" customHeight="1" x14ac:dyDescent="0.65"/>
    <row r="800" ht="21.75" customHeight="1" x14ac:dyDescent="0.65"/>
    <row r="801" ht="21.75" customHeight="1" x14ac:dyDescent="0.65"/>
    <row r="802" ht="21.75" customHeight="1" x14ac:dyDescent="0.65"/>
    <row r="803" ht="21.75" customHeight="1" x14ac:dyDescent="0.65"/>
    <row r="804" ht="21.75" customHeight="1" x14ac:dyDescent="0.65"/>
    <row r="805" ht="21.75" customHeight="1" x14ac:dyDescent="0.65"/>
    <row r="806" ht="21.75" customHeight="1" x14ac:dyDescent="0.65"/>
    <row r="807" ht="21.75" customHeight="1" x14ac:dyDescent="0.65"/>
    <row r="808" ht="21.75" customHeight="1" x14ac:dyDescent="0.65"/>
    <row r="809" ht="21.75" customHeight="1" x14ac:dyDescent="0.65"/>
    <row r="810" ht="21.75" customHeight="1" x14ac:dyDescent="0.65"/>
    <row r="811" ht="21.75" customHeight="1" x14ac:dyDescent="0.65"/>
    <row r="812" ht="21.75" customHeight="1" x14ac:dyDescent="0.65"/>
    <row r="813" ht="21.75" customHeight="1" x14ac:dyDescent="0.65"/>
    <row r="814" ht="21.75" customHeight="1" x14ac:dyDescent="0.65"/>
    <row r="815" ht="21.75" customHeight="1" x14ac:dyDescent="0.65"/>
    <row r="816" ht="21.75" customHeight="1" x14ac:dyDescent="0.65"/>
    <row r="817" ht="21.75" customHeight="1" x14ac:dyDescent="0.65"/>
    <row r="818" ht="21.75" customHeight="1" x14ac:dyDescent="0.65"/>
    <row r="819" ht="21.75" customHeight="1" x14ac:dyDescent="0.65"/>
    <row r="820" ht="21.75" customHeight="1" x14ac:dyDescent="0.65"/>
    <row r="821" ht="21.75" customHeight="1" x14ac:dyDescent="0.65"/>
    <row r="822" ht="21.75" customHeight="1" x14ac:dyDescent="0.65"/>
    <row r="823" ht="21.75" customHeight="1" x14ac:dyDescent="0.65"/>
    <row r="824" ht="21.75" customHeight="1" x14ac:dyDescent="0.65"/>
    <row r="825" ht="21.75" customHeight="1" x14ac:dyDescent="0.65"/>
    <row r="826" ht="21.75" customHeight="1" x14ac:dyDescent="0.65"/>
    <row r="827" ht="21.75" customHeight="1" x14ac:dyDescent="0.65"/>
    <row r="828" ht="21.75" customHeight="1" x14ac:dyDescent="0.65"/>
    <row r="829" ht="21.75" customHeight="1" x14ac:dyDescent="0.65"/>
    <row r="830" ht="21.75" customHeight="1" x14ac:dyDescent="0.65"/>
    <row r="831" ht="21.75" customHeight="1" x14ac:dyDescent="0.65"/>
    <row r="832" ht="21.75" customHeight="1" x14ac:dyDescent="0.65"/>
    <row r="833" ht="21.75" customHeight="1" x14ac:dyDescent="0.65"/>
    <row r="834" ht="21.75" customHeight="1" x14ac:dyDescent="0.65"/>
    <row r="835" ht="21.75" customHeight="1" x14ac:dyDescent="0.65"/>
    <row r="836" ht="21.75" customHeight="1" x14ac:dyDescent="0.65"/>
    <row r="837" ht="21.75" customHeight="1" x14ac:dyDescent="0.65"/>
    <row r="838" ht="21.75" customHeight="1" x14ac:dyDescent="0.65"/>
    <row r="839" ht="21.75" customHeight="1" x14ac:dyDescent="0.65"/>
    <row r="840" ht="21.75" customHeight="1" x14ac:dyDescent="0.65"/>
    <row r="841" ht="21.75" customHeight="1" x14ac:dyDescent="0.65"/>
    <row r="842" ht="21.75" customHeight="1" x14ac:dyDescent="0.65"/>
    <row r="843" ht="21.75" customHeight="1" x14ac:dyDescent="0.65"/>
    <row r="844" ht="21.75" customHeight="1" x14ac:dyDescent="0.65"/>
    <row r="845" ht="21.75" customHeight="1" x14ac:dyDescent="0.65"/>
    <row r="846" ht="21.75" customHeight="1" x14ac:dyDescent="0.65"/>
    <row r="847" ht="21.75" customHeight="1" x14ac:dyDescent="0.65"/>
    <row r="848" ht="21.75" customHeight="1" x14ac:dyDescent="0.65"/>
    <row r="849" ht="21.75" customHeight="1" x14ac:dyDescent="0.65"/>
    <row r="850" ht="21.75" customHeight="1" x14ac:dyDescent="0.65"/>
    <row r="851" ht="21.75" customHeight="1" x14ac:dyDescent="0.65"/>
    <row r="852" ht="21.75" customHeight="1" x14ac:dyDescent="0.65"/>
    <row r="853" ht="21.75" customHeight="1" x14ac:dyDescent="0.65"/>
    <row r="854" ht="21.75" customHeight="1" x14ac:dyDescent="0.65"/>
    <row r="855" ht="21.75" customHeight="1" x14ac:dyDescent="0.65"/>
    <row r="856" ht="21.75" customHeight="1" x14ac:dyDescent="0.65"/>
    <row r="857" ht="21.75" customHeight="1" x14ac:dyDescent="0.65"/>
    <row r="858" ht="21.75" customHeight="1" x14ac:dyDescent="0.65"/>
    <row r="859" ht="21.75" customHeight="1" x14ac:dyDescent="0.65"/>
    <row r="860" ht="21.75" customHeight="1" x14ac:dyDescent="0.65"/>
    <row r="861" ht="21.75" customHeight="1" x14ac:dyDescent="0.65"/>
    <row r="862" ht="21.75" customHeight="1" x14ac:dyDescent="0.65"/>
    <row r="863" ht="21.75" customHeight="1" x14ac:dyDescent="0.65"/>
    <row r="864" ht="21.75" customHeight="1" x14ac:dyDescent="0.65"/>
    <row r="865" ht="21.75" customHeight="1" x14ac:dyDescent="0.65"/>
    <row r="866" ht="21.75" customHeight="1" x14ac:dyDescent="0.65"/>
    <row r="867" ht="21.75" customHeight="1" x14ac:dyDescent="0.65"/>
    <row r="868" ht="21.75" customHeight="1" x14ac:dyDescent="0.65"/>
    <row r="869" ht="21.75" customHeight="1" x14ac:dyDescent="0.65"/>
    <row r="870" ht="21.75" customHeight="1" x14ac:dyDescent="0.65"/>
    <row r="871" ht="21.75" customHeight="1" x14ac:dyDescent="0.65"/>
    <row r="872" ht="21.75" customHeight="1" x14ac:dyDescent="0.65"/>
    <row r="873" ht="21.75" customHeight="1" x14ac:dyDescent="0.65"/>
    <row r="874" ht="21.75" customHeight="1" x14ac:dyDescent="0.65"/>
    <row r="875" ht="21.75" customHeight="1" x14ac:dyDescent="0.65"/>
    <row r="876" ht="21.75" customHeight="1" x14ac:dyDescent="0.65"/>
    <row r="877" ht="21.75" customHeight="1" x14ac:dyDescent="0.65"/>
    <row r="878" ht="21.75" customHeight="1" x14ac:dyDescent="0.65"/>
    <row r="879" ht="21.75" customHeight="1" x14ac:dyDescent="0.65"/>
    <row r="880" ht="21.75" customHeight="1" x14ac:dyDescent="0.65"/>
    <row r="881" ht="21.75" customHeight="1" x14ac:dyDescent="0.65"/>
    <row r="882" ht="21.75" customHeight="1" x14ac:dyDescent="0.65"/>
    <row r="883" ht="21.75" customHeight="1" x14ac:dyDescent="0.65"/>
    <row r="884" ht="21.75" customHeight="1" x14ac:dyDescent="0.65"/>
    <row r="885" ht="21.75" customHeight="1" x14ac:dyDescent="0.65"/>
    <row r="886" ht="21.75" customHeight="1" x14ac:dyDescent="0.65"/>
    <row r="887" ht="21.75" customHeight="1" x14ac:dyDescent="0.65"/>
    <row r="888" ht="21.75" customHeight="1" x14ac:dyDescent="0.65"/>
    <row r="889" ht="21.75" customHeight="1" x14ac:dyDescent="0.65"/>
    <row r="890" ht="21.75" customHeight="1" x14ac:dyDescent="0.65"/>
    <row r="891" ht="21.75" customHeight="1" x14ac:dyDescent="0.65"/>
    <row r="892" ht="21.75" customHeight="1" x14ac:dyDescent="0.65"/>
    <row r="893" ht="21.75" customHeight="1" x14ac:dyDescent="0.65"/>
    <row r="894" ht="21.75" customHeight="1" x14ac:dyDescent="0.65"/>
    <row r="895" ht="21.75" customHeight="1" x14ac:dyDescent="0.65"/>
    <row r="896" ht="21.75" customHeight="1" x14ac:dyDescent="0.65"/>
    <row r="897" ht="21.75" customHeight="1" x14ac:dyDescent="0.65"/>
    <row r="898" ht="21.75" customHeight="1" x14ac:dyDescent="0.65"/>
    <row r="899" ht="21.75" customHeight="1" x14ac:dyDescent="0.65"/>
    <row r="900" ht="21.75" customHeight="1" x14ac:dyDescent="0.65"/>
    <row r="901" ht="21.75" customHeight="1" x14ac:dyDescent="0.65"/>
    <row r="902" ht="21.75" customHeight="1" x14ac:dyDescent="0.65"/>
    <row r="903" ht="21.75" customHeight="1" x14ac:dyDescent="0.65"/>
    <row r="904" ht="21.75" customHeight="1" x14ac:dyDescent="0.65"/>
    <row r="905" ht="21.75" customHeight="1" x14ac:dyDescent="0.65"/>
    <row r="906" ht="21.75" customHeight="1" x14ac:dyDescent="0.65"/>
    <row r="907" ht="21.75" customHeight="1" x14ac:dyDescent="0.65"/>
    <row r="908" ht="21.75" customHeight="1" x14ac:dyDescent="0.65"/>
    <row r="909" ht="21.75" customHeight="1" x14ac:dyDescent="0.65"/>
    <row r="910" ht="21.75" customHeight="1" x14ac:dyDescent="0.65"/>
    <row r="911" ht="21.75" customHeight="1" x14ac:dyDescent="0.65"/>
    <row r="912" ht="21.75" customHeight="1" x14ac:dyDescent="0.65"/>
    <row r="913" ht="21.75" customHeight="1" x14ac:dyDescent="0.65"/>
    <row r="914" ht="21.75" customHeight="1" x14ac:dyDescent="0.65"/>
    <row r="915" ht="21.75" customHeight="1" x14ac:dyDescent="0.65"/>
    <row r="916" ht="21.75" customHeight="1" x14ac:dyDescent="0.65"/>
    <row r="917" ht="21.75" customHeight="1" x14ac:dyDescent="0.65"/>
    <row r="918" ht="21.75" customHeight="1" x14ac:dyDescent="0.65"/>
    <row r="919" ht="21.75" customHeight="1" x14ac:dyDescent="0.65"/>
    <row r="920" ht="21.75" customHeight="1" x14ac:dyDescent="0.65"/>
    <row r="921" ht="21.75" customHeight="1" x14ac:dyDescent="0.65"/>
    <row r="922" ht="21.75" customHeight="1" x14ac:dyDescent="0.65"/>
    <row r="923" ht="21.75" customHeight="1" x14ac:dyDescent="0.65"/>
    <row r="924" ht="21.75" customHeight="1" x14ac:dyDescent="0.65"/>
    <row r="925" ht="21.75" customHeight="1" x14ac:dyDescent="0.65"/>
    <row r="926" ht="21.75" customHeight="1" x14ac:dyDescent="0.65"/>
    <row r="927" ht="21.75" customHeight="1" x14ac:dyDescent="0.65"/>
    <row r="928" ht="21.75" customHeight="1" x14ac:dyDescent="0.65"/>
    <row r="929" ht="21.75" customHeight="1" x14ac:dyDescent="0.65"/>
    <row r="930" ht="21.75" customHeight="1" x14ac:dyDescent="0.65"/>
    <row r="931" ht="21.75" customHeight="1" x14ac:dyDescent="0.65"/>
    <row r="932" ht="21.75" customHeight="1" x14ac:dyDescent="0.65"/>
    <row r="933" ht="21.75" customHeight="1" x14ac:dyDescent="0.65"/>
    <row r="934" ht="21.75" customHeight="1" x14ac:dyDescent="0.65"/>
    <row r="935" ht="21.75" customHeight="1" x14ac:dyDescent="0.65"/>
    <row r="936" ht="21.75" customHeight="1" x14ac:dyDescent="0.65"/>
    <row r="937" ht="21.75" customHeight="1" x14ac:dyDescent="0.65"/>
    <row r="938" ht="21.75" customHeight="1" x14ac:dyDescent="0.65"/>
    <row r="939" ht="21.75" customHeight="1" x14ac:dyDescent="0.65"/>
    <row r="940" ht="21.75" customHeight="1" x14ac:dyDescent="0.65"/>
    <row r="941" ht="21.75" customHeight="1" x14ac:dyDescent="0.65"/>
    <row r="942" ht="21.75" customHeight="1" x14ac:dyDescent="0.65"/>
    <row r="943" ht="21.75" customHeight="1" x14ac:dyDescent="0.65"/>
    <row r="944" ht="21.75" customHeight="1" x14ac:dyDescent="0.65"/>
    <row r="945" ht="21.75" customHeight="1" x14ac:dyDescent="0.65"/>
    <row r="946" ht="21.75" customHeight="1" x14ac:dyDescent="0.65"/>
    <row r="947" ht="21.75" customHeight="1" x14ac:dyDescent="0.65"/>
    <row r="948" ht="21.75" customHeight="1" x14ac:dyDescent="0.65"/>
    <row r="949" ht="21.75" customHeight="1" x14ac:dyDescent="0.65"/>
    <row r="950" ht="21.75" customHeight="1" x14ac:dyDescent="0.65"/>
    <row r="951" ht="21.75" customHeight="1" x14ac:dyDescent="0.65"/>
    <row r="952" ht="21.75" customHeight="1" x14ac:dyDescent="0.65"/>
    <row r="953" ht="21.75" customHeight="1" x14ac:dyDescent="0.65"/>
    <row r="954" ht="21.75" customHeight="1" x14ac:dyDescent="0.65"/>
    <row r="955" ht="21.75" customHeight="1" x14ac:dyDescent="0.65"/>
    <row r="956" ht="21.75" customHeight="1" x14ac:dyDescent="0.65"/>
    <row r="957" ht="21.75" customHeight="1" x14ac:dyDescent="0.65"/>
    <row r="958" ht="21.75" customHeight="1" x14ac:dyDescent="0.65"/>
    <row r="959" ht="21.75" customHeight="1" x14ac:dyDescent="0.65"/>
    <row r="960" ht="21.75" customHeight="1" x14ac:dyDescent="0.65"/>
    <row r="961" ht="21.75" customHeight="1" x14ac:dyDescent="0.65"/>
    <row r="962" ht="21.75" customHeight="1" x14ac:dyDescent="0.65"/>
    <row r="963" ht="21.75" customHeight="1" x14ac:dyDescent="0.65"/>
    <row r="964" ht="21.75" customHeight="1" x14ac:dyDescent="0.65"/>
    <row r="965" ht="21.75" customHeight="1" x14ac:dyDescent="0.65"/>
    <row r="966" ht="21.75" customHeight="1" x14ac:dyDescent="0.65"/>
    <row r="967" ht="21.75" customHeight="1" x14ac:dyDescent="0.65"/>
    <row r="968" ht="21.75" customHeight="1" x14ac:dyDescent="0.65"/>
    <row r="969" ht="21.75" customHeight="1" x14ac:dyDescent="0.65"/>
    <row r="970" ht="21.75" customHeight="1" x14ac:dyDescent="0.65"/>
    <row r="971" ht="21.75" customHeight="1" x14ac:dyDescent="0.65"/>
    <row r="972" ht="21.75" customHeight="1" x14ac:dyDescent="0.65"/>
    <row r="973" ht="21.75" customHeight="1" x14ac:dyDescent="0.65"/>
    <row r="974" ht="21.75" customHeight="1" x14ac:dyDescent="0.65"/>
    <row r="975" ht="21.75" customHeight="1" x14ac:dyDescent="0.65"/>
    <row r="976" ht="21.75" customHeight="1" x14ac:dyDescent="0.65"/>
    <row r="977" ht="21.75" customHeight="1" x14ac:dyDescent="0.65"/>
    <row r="978" ht="21.75" customHeight="1" x14ac:dyDescent="0.65"/>
    <row r="979" ht="21.75" customHeight="1" x14ac:dyDescent="0.65"/>
    <row r="980" ht="21.75" customHeight="1" x14ac:dyDescent="0.65"/>
    <row r="981" ht="21.75" customHeight="1" x14ac:dyDescent="0.65"/>
    <row r="982" ht="21.75" customHeight="1" x14ac:dyDescent="0.65"/>
    <row r="983" ht="21.75" customHeight="1" x14ac:dyDescent="0.65"/>
    <row r="984" ht="21.75" customHeight="1" x14ac:dyDescent="0.65"/>
    <row r="985" ht="21.75" customHeight="1" x14ac:dyDescent="0.65"/>
    <row r="986" ht="21.75" customHeight="1" x14ac:dyDescent="0.65"/>
    <row r="987" ht="21.75" customHeight="1" x14ac:dyDescent="0.65"/>
    <row r="988" ht="21.75" customHeight="1" x14ac:dyDescent="0.65"/>
    <row r="989" ht="21.75" customHeight="1" x14ac:dyDescent="0.65"/>
    <row r="990" ht="21.75" customHeight="1" x14ac:dyDescent="0.65"/>
    <row r="991" ht="21.75" customHeight="1" x14ac:dyDescent="0.65"/>
    <row r="992" ht="21.75" customHeight="1" x14ac:dyDescent="0.65"/>
    <row r="993" ht="21.75" customHeight="1" x14ac:dyDescent="0.65"/>
    <row r="994" ht="21.75" customHeight="1" x14ac:dyDescent="0.65"/>
    <row r="995" ht="21.75" customHeight="1" x14ac:dyDescent="0.65"/>
    <row r="996" ht="21.75" customHeight="1" x14ac:dyDescent="0.65"/>
    <row r="997" ht="21.75" customHeight="1" x14ac:dyDescent="0.65"/>
    <row r="998" ht="21.75" customHeight="1" x14ac:dyDescent="0.65"/>
    <row r="999" ht="21.75" customHeight="1" x14ac:dyDescent="0.65"/>
    <row r="1000" ht="21.75" customHeight="1" x14ac:dyDescent="0.65"/>
    <row r="1001" ht="21.75" customHeight="1" x14ac:dyDescent="0.65"/>
    <row r="1002" ht="21.75" customHeight="1" x14ac:dyDescent="0.65"/>
    <row r="1003" ht="21.75" customHeight="1" x14ac:dyDescent="0.65"/>
    <row r="1004" ht="21.75" customHeight="1" x14ac:dyDescent="0.65"/>
    <row r="1005" ht="21.75" customHeight="1" x14ac:dyDescent="0.65"/>
    <row r="1006" ht="21.75" customHeight="1" x14ac:dyDescent="0.65"/>
    <row r="1007" ht="21.75" customHeight="1" x14ac:dyDescent="0.65"/>
    <row r="1008" ht="21.75" customHeight="1" x14ac:dyDescent="0.65"/>
    <row r="1009" ht="21.75" customHeight="1" x14ac:dyDescent="0.65"/>
    <row r="1010" ht="21.75" customHeight="1" x14ac:dyDescent="0.65"/>
    <row r="1011" ht="21.75" customHeight="1" x14ac:dyDescent="0.65"/>
    <row r="1012" ht="21.75" customHeight="1" x14ac:dyDescent="0.65"/>
    <row r="1013" ht="21.75" customHeight="1" x14ac:dyDescent="0.65"/>
    <row r="1014" ht="21.75" customHeight="1" x14ac:dyDescent="0.65"/>
    <row r="1015" ht="21.75" customHeight="1" x14ac:dyDescent="0.65"/>
    <row r="1016" ht="21.75" customHeight="1" x14ac:dyDescent="0.65"/>
    <row r="1017" ht="21.75" customHeight="1" x14ac:dyDescent="0.65"/>
    <row r="1018" ht="21.75" customHeight="1" x14ac:dyDescent="0.65"/>
    <row r="1019" ht="21.75" customHeight="1" x14ac:dyDescent="0.65"/>
    <row r="1020" ht="21.75" customHeight="1" x14ac:dyDescent="0.65"/>
    <row r="1021" ht="21.75" customHeight="1" x14ac:dyDescent="0.65"/>
    <row r="1022" ht="21.75" customHeight="1" x14ac:dyDescent="0.65"/>
    <row r="1023" ht="21.75" customHeight="1" x14ac:dyDescent="0.65"/>
    <row r="1024" ht="21.75" customHeight="1" x14ac:dyDescent="0.65"/>
    <row r="1025" ht="21.75" customHeight="1" x14ac:dyDescent="0.65"/>
    <row r="1026" ht="21.75" customHeight="1" x14ac:dyDescent="0.65"/>
    <row r="1027" ht="21.75" customHeight="1" x14ac:dyDescent="0.65"/>
    <row r="1028" ht="21.75" customHeight="1" x14ac:dyDescent="0.65"/>
    <row r="1029" ht="21.75" customHeight="1" x14ac:dyDescent="0.65"/>
    <row r="1030" ht="21.75" customHeight="1" x14ac:dyDescent="0.65"/>
    <row r="1031" ht="21.75" customHeight="1" x14ac:dyDescent="0.65"/>
    <row r="1032" ht="21.75" customHeight="1" x14ac:dyDescent="0.65"/>
    <row r="1033" ht="21.75" customHeight="1" x14ac:dyDescent="0.65"/>
    <row r="1034" ht="21.75" customHeight="1" x14ac:dyDescent="0.65"/>
    <row r="1035" ht="21.75" customHeight="1" x14ac:dyDescent="0.65"/>
    <row r="1036" ht="21.75" customHeight="1" x14ac:dyDescent="0.65"/>
    <row r="1037" ht="21.75" customHeight="1" x14ac:dyDescent="0.65"/>
    <row r="1038" ht="21.75" customHeight="1" x14ac:dyDescent="0.65"/>
    <row r="1039" ht="21.75" customHeight="1" x14ac:dyDescent="0.65"/>
    <row r="1040" ht="21.75" customHeight="1" x14ac:dyDescent="0.65"/>
    <row r="1041" ht="21.75" customHeight="1" x14ac:dyDescent="0.65"/>
    <row r="1042" ht="21.75" customHeight="1" x14ac:dyDescent="0.65"/>
    <row r="1043" ht="21.75" customHeight="1" x14ac:dyDescent="0.65"/>
    <row r="1044" ht="21.75" customHeight="1" x14ac:dyDescent="0.65"/>
    <row r="1045" ht="21.75" customHeight="1" x14ac:dyDescent="0.65"/>
    <row r="1046" ht="21.75" customHeight="1" x14ac:dyDescent="0.65"/>
    <row r="1047" ht="21.75" customHeight="1" x14ac:dyDescent="0.65"/>
    <row r="1048" ht="21.75" customHeight="1" x14ac:dyDescent="0.65"/>
    <row r="1049" ht="21.75" customHeight="1" x14ac:dyDescent="0.65"/>
    <row r="1050" ht="21.75" customHeight="1" x14ac:dyDescent="0.65"/>
    <row r="1051" ht="21.75" customHeight="1" x14ac:dyDescent="0.65"/>
    <row r="1052" ht="21.75" customHeight="1" x14ac:dyDescent="0.65"/>
    <row r="1053" ht="21.75" customHeight="1" x14ac:dyDescent="0.65"/>
    <row r="1054" ht="21.75" customHeight="1" x14ac:dyDescent="0.65"/>
    <row r="1055" ht="21.75" customHeight="1" x14ac:dyDescent="0.65"/>
    <row r="1056" ht="21.75" customHeight="1" x14ac:dyDescent="0.65"/>
    <row r="1057" ht="21.75" customHeight="1" x14ac:dyDescent="0.65"/>
    <row r="1058" ht="21.75" customHeight="1" x14ac:dyDescent="0.65"/>
    <row r="1059" ht="21.75" customHeight="1" x14ac:dyDescent="0.65"/>
    <row r="1060" ht="21.75" customHeight="1" x14ac:dyDescent="0.65"/>
    <row r="1061" ht="21.75" customHeight="1" x14ac:dyDescent="0.65"/>
    <row r="1062" ht="21.75" customHeight="1" x14ac:dyDescent="0.65"/>
    <row r="1063" ht="21.75" customHeight="1" x14ac:dyDescent="0.65"/>
    <row r="1064" ht="21.75" customHeight="1" x14ac:dyDescent="0.65"/>
    <row r="1065" ht="21.75" customHeight="1" x14ac:dyDescent="0.65"/>
    <row r="1066" ht="21.75" customHeight="1" x14ac:dyDescent="0.65"/>
    <row r="1067" ht="21.75" customHeight="1" x14ac:dyDescent="0.65"/>
    <row r="1068" ht="21.75" customHeight="1" x14ac:dyDescent="0.65"/>
    <row r="1069" ht="21.75" customHeight="1" x14ac:dyDescent="0.65"/>
    <row r="1070" ht="21.75" customHeight="1" x14ac:dyDescent="0.65"/>
    <row r="1071" ht="21.75" customHeight="1" x14ac:dyDescent="0.65"/>
    <row r="1072" ht="21.75" customHeight="1" x14ac:dyDescent="0.65"/>
    <row r="1073" ht="21.75" customHeight="1" x14ac:dyDescent="0.65"/>
    <row r="1074" ht="21.75" customHeight="1" x14ac:dyDescent="0.65"/>
    <row r="1075" ht="21.75" customHeight="1" x14ac:dyDescent="0.65"/>
    <row r="1076" ht="21.75" customHeight="1" x14ac:dyDescent="0.65"/>
    <row r="1077" ht="21.75" customHeight="1" x14ac:dyDescent="0.65"/>
    <row r="1078" ht="21.75" customHeight="1" x14ac:dyDescent="0.65"/>
    <row r="1079" ht="21.75" customHeight="1" x14ac:dyDescent="0.65"/>
    <row r="1080" ht="21.75" customHeight="1" x14ac:dyDescent="0.65"/>
    <row r="1081" ht="21.75" customHeight="1" x14ac:dyDescent="0.65"/>
    <row r="1082" ht="21.75" customHeight="1" x14ac:dyDescent="0.65"/>
    <row r="1083" ht="21.75" customHeight="1" x14ac:dyDescent="0.65"/>
    <row r="1084" ht="21.75" customHeight="1" x14ac:dyDescent="0.65"/>
    <row r="1085" ht="21.75" customHeight="1" x14ac:dyDescent="0.65"/>
    <row r="1086" ht="21.75" customHeight="1" x14ac:dyDescent="0.65"/>
    <row r="1087" ht="21.75" customHeight="1" x14ac:dyDescent="0.65"/>
    <row r="1088" ht="21.75" customHeight="1" x14ac:dyDescent="0.65"/>
    <row r="1089" ht="21.75" customHeight="1" x14ac:dyDescent="0.65"/>
    <row r="1090" ht="21.75" customHeight="1" x14ac:dyDescent="0.65"/>
    <row r="1091" ht="21.75" customHeight="1" x14ac:dyDescent="0.65"/>
    <row r="1092" ht="21.75" customHeight="1" x14ac:dyDescent="0.65"/>
    <row r="1093" ht="21.75" customHeight="1" x14ac:dyDescent="0.65"/>
    <row r="1094" ht="21.75" customHeight="1" x14ac:dyDescent="0.65"/>
    <row r="1095" ht="21.75" customHeight="1" x14ac:dyDescent="0.65"/>
    <row r="1096" ht="21.75" customHeight="1" x14ac:dyDescent="0.65"/>
    <row r="1097" ht="21.75" customHeight="1" x14ac:dyDescent="0.65"/>
    <row r="1098" ht="21.75" customHeight="1" x14ac:dyDescent="0.65"/>
    <row r="1099" ht="21.75" customHeight="1" x14ac:dyDescent="0.65"/>
    <row r="1100" ht="21.75" customHeight="1" x14ac:dyDescent="0.65"/>
    <row r="1101" ht="21.75" customHeight="1" x14ac:dyDescent="0.65"/>
    <row r="1102" ht="21.75" customHeight="1" x14ac:dyDescent="0.65"/>
    <row r="1103" ht="21.75" customHeight="1" x14ac:dyDescent="0.65"/>
  </sheetData>
  <mergeCells count="10">
    <mergeCell ref="A118:F118"/>
    <mergeCell ref="N1:S1"/>
    <mergeCell ref="T1:T2"/>
    <mergeCell ref="A1:A2"/>
    <mergeCell ref="B1:B2"/>
    <mergeCell ref="C1:C2"/>
    <mergeCell ref="D1:D2"/>
    <mergeCell ref="E1:E2"/>
    <mergeCell ref="F1:F2"/>
    <mergeCell ref="G1:M1"/>
  </mergeCells>
  <pageMargins left="0.7" right="0.7" top="0.75" bottom="0.75" header="0" footer="0"/>
  <pageSetup orientation="landscape"/>
  <ignoredErrors>
    <ignoredError sqref="M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abSelected="1" workbookViewId="0">
      <selection activeCell="X11" sqref="X11"/>
    </sheetView>
  </sheetViews>
  <sheetFormatPr defaultColWidth="9.09765625" defaultRowHeight="15" customHeight="1" x14ac:dyDescent="0.65"/>
  <cols>
    <col min="1" max="1" width="2.59765625" style="41" customWidth="1"/>
    <col min="2" max="19" width="5.5" customWidth="1"/>
    <col min="20" max="20" width="3" customWidth="1"/>
    <col min="21" max="21" width="5.09765625" style="41" customWidth="1"/>
    <col min="22" max="28" width="8.5" customWidth="1"/>
  </cols>
  <sheetData>
    <row r="1" spans="1:22" ht="35.25" customHeight="1" x14ac:dyDescent="0.65">
      <c r="A1" s="45"/>
      <c r="B1" s="95" t="s">
        <v>146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46"/>
      <c r="V1" s="26" t="s">
        <v>20</v>
      </c>
    </row>
    <row r="2" spans="1:22" ht="21.75" customHeight="1" x14ac:dyDescent="0.7">
      <c r="A2" s="47"/>
      <c r="B2" s="97" t="s">
        <v>21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48"/>
      <c r="V2" s="26" t="s">
        <v>22</v>
      </c>
    </row>
    <row r="3" spans="1:22" ht="4.5" customHeight="1" thickBot="1" x14ac:dyDescent="0.75">
      <c r="A3" s="47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8"/>
    </row>
    <row r="4" spans="1:22" ht="21.75" customHeight="1" x14ac:dyDescent="0.65">
      <c r="A4" s="47"/>
      <c r="B4" s="27" t="s">
        <v>23</v>
      </c>
      <c r="C4" s="28"/>
      <c r="D4" s="29"/>
      <c r="E4" s="99">
        <v>1002</v>
      </c>
      <c r="F4" s="100"/>
      <c r="G4" s="100"/>
      <c r="H4" s="100"/>
      <c r="I4" s="100"/>
      <c r="J4" s="101"/>
      <c r="K4" s="42" t="s">
        <v>24</v>
      </c>
      <c r="L4" s="28"/>
      <c r="M4" s="29"/>
      <c r="N4" s="99" t="str">
        <f t="array" ref="N4">INDEX(Payroll!D:D,MATCH(E4,Payroll!B:B))</f>
        <v>-</v>
      </c>
      <c r="O4" s="100"/>
      <c r="P4" s="100"/>
      <c r="Q4" s="100"/>
      <c r="R4" s="100"/>
      <c r="S4" s="102"/>
      <c r="T4" s="48"/>
    </row>
    <row r="5" spans="1:22" ht="21.75" customHeight="1" x14ac:dyDescent="0.65">
      <c r="A5" s="47"/>
      <c r="B5" s="30" t="s">
        <v>25</v>
      </c>
      <c r="C5" s="31"/>
      <c r="D5" s="32"/>
      <c r="E5" s="81" t="str">
        <f t="array" ref="E5">INDEX(Payroll!C:C,MATCH(E4,Payroll!B:B))</f>
        <v>สมพงษ์ แก้วบุดดา</v>
      </c>
      <c r="F5" s="79"/>
      <c r="G5" s="79"/>
      <c r="H5" s="79"/>
      <c r="I5" s="79"/>
      <c r="J5" s="80"/>
      <c r="K5" s="43" t="s">
        <v>26</v>
      </c>
      <c r="L5" s="31"/>
      <c r="M5" s="32"/>
      <c r="N5" s="81" t="str">
        <f t="array" ref="N5">INDEX(Payroll!E:E,MATCH(E4,Payroll!B:B))</f>
        <v>-</v>
      </c>
      <c r="O5" s="79"/>
      <c r="P5" s="79"/>
      <c r="Q5" s="79"/>
      <c r="R5" s="79"/>
      <c r="S5" s="85"/>
      <c r="T5" s="48"/>
    </row>
    <row r="6" spans="1:22" ht="21.75" customHeight="1" thickBot="1" x14ac:dyDescent="0.7">
      <c r="A6" s="47"/>
      <c r="B6" s="33" t="s">
        <v>27</v>
      </c>
      <c r="C6" s="34"/>
      <c r="D6" s="35"/>
      <c r="E6" s="109">
        <v>46152</v>
      </c>
      <c r="F6" s="104"/>
      <c r="G6" s="104"/>
      <c r="H6" s="104"/>
      <c r="I6" s="104"/>
      <c r="J6" s="110"/>
      <c r="K6" s="44" t="s">
        <v>28</v>
      </c>
      <c r="L6" s="34"/>
      <c r="M6" s="35"/>
      <c r="N6" s="103" t="s">
        <v>145</v>
      </c>
      <c r="O6" s="104"/>
      <c r="P6" s="104"/>
      <c r="Q6" s="104"/>
      <c r="R6" s="104"/>
      <c r="S6" s="105"/>
      <c r="T6" s="48"/>
    </row>
    <row r="7" spans="1:22" ht="4.5" customHeight="1" thickBot="1" x14ac:dyDescent="0.7">
      <c r="A7" s="47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1:22" ht="21.75" customHeight="1" thickBot="1" x14ac:dyDescent="0.75">
      <c r="A8" s="47"/>
      <c r="B8" s="111" t="s">
        <v>6</v>
      </c>
      <c r="C8" s="74"/>
      <c r="D8" s="74"/>
      <c r="E8" s="74"/>
      <c r="F8" s="74"/>
      <c r="G8" s="74"/>
      <c r="H8" s="74"/>
      <c r="I8" s="74"/>
      <c r="J8" s="72"/>
      <c r="K8" s="111" t="s">
        <v>7</v>
      </c>
      <c r="L8" s="74"/>
      <c r="M8" s="74"/>
      <c r="N8" s="74"/>
      <c r="O8" s="74"/>
      <c r="P8" s="74"/>
      <c r="Q8" s="74"/>
      <c r="R8" s="74"/>
      <c r="S8" s="72"/>
      <c r="T8" s="48"/>
    </row>
    <row r="9" spans="1:22" ht="21.75" customHeight="1" x14ac:dyDescent="0.65">
      <c r="A9" s="47"/>
      <c r="B9" s="90" t="s">
        <v>9</v>
      </c>
      <c r="C9" s="91"/>
      <c r="D9" s="92"/>
      <c r="E9" s="106">
        <f t="array" ref="E9">INDEX(Payroll!G:G,MATCH(E4,Payroll!B:B))</f>
        <v>6533.3380000000016</v>
      </c>
      <c r="F9" s="91"/>
      <c r="G9" s="91"/>
      <c r="H9" s="92"/>
      <c r="I9" s="107" t="s">
        <v>29</v>
      </c>
      <c r="J9" s="108"/>
      <c r="K9" s="90" t="s">
        <v>14</v>
      </c>
      <c r="L9" s="91"/>
      <c r="M9" s="92"/>
      <c r="N9" s="106">
        <f t="array" ref="N9">INDEX(Payroll!N:N,MATCH(E4,Payroll!B:B))</f>
        <v>326.66690000000011</v>
      </c>
      <c r="O9" s="91"/>
      <c r="P9" s="91"/>
      <c r="Q9" s="92"/>
      <c r="R9" s="107" t="s">
        <v>29</v>
      </c>
      <c r="S9" s="108"/>
      <c r="T9" s="48"/>
    </row>
    <row r="10" spans="1:22" ht="21.75" customHeight="1" x14ac:dyDescent="0.65">
      <c r="A10" s="47"/>
      <c r="B10" s="78" t="s">
        <v>10</v>
      </c>
      <c r="C10" s="79"/>
      <c r="D10" s="80"/>
      <c r="E10" s="83">
        <f t="array" ref="E10">INDEX(Payroll!H:H,MATCH(E4,Payroll!B:B))</f>
        <v>0</v>
      </c>
      <c r="F10" s="79"/>
      <c r="G10" s="79"/>
      <c r="H10" s="80"/>
      <c r="I10" s="84" t="s">
        <v>29</v>
      </c>
      <c r="J10" s="85"/>
      <c r="K10" s="78" t="s">
        <v>35</v>
      </c>
      <c r="L10" s="86"/>
      <c r="M10" s="87"/>
      <c r="N10" s="83">
        <f>INDEX(Payroll!Q:Q,MATCH(E4,Payroll!B:B))</f>
        <v>0</v>
      </c>
      <c r="O10" s="88"/>
      <c r="P10" s="88"/>
      <c r="Q10" s="89"/>
      <c r="R10" s="81" t="s">
        <v>29</v>
      </c>
      <c r="S10" s="82"/>
      <c r="T10" s="48"/>
    </row>
    <row r="11" spans="1:22" ht="21.75" customHeight="1" x14ac:dyDescent="0.65">
      <c r="A11" s="47"/>
      <c r="B11" s="78" t="s">
        <v>33</v>
      </c>
      <c r="C11" s="79"/>
      <c r="D11" s="80"/>
      <c r="E11" s="83">
        <f t="array" ref="E11">INDEX(Payroll!I:I,MATCH(E4,Payroll!B:B))</f>
        <v>3266.6199999999994</v>
      </c>
      <c r="F11" s="79"/>
      <c r="G11" s="79"/>
      <c r="H11" s="80"/>
      <c r="I11" s="84" t="s">
        <v>29</v>
      </c>
      <c r="J11" s="85"/>
      <c r="K11" s="78" t="s">
        <v>17</v>
      </c>
      <c r="L11" s="86"/>
      <c r="M11" s="87"/>
      <c r="N11" s="83">
        <f>INDEX(Payroll!R:R,MATCH(E4,Payroll!B:B))</f>
        <v>0</v>
      </c>
      <c r="O11" s="88"/>
      <c r="P11" s="88"/>
      <c r="Q11" s="89"/>
      <c r="R11" s="81" t="s">
        <v>29</v>
      </c>
      <c r="S11" s="82"/>
      <c r="T11" s="48"/>
    </row>
    <row r="12" spans="1:22" ht="21.75" customHeight="1" x14ac:dyDescent="0.65">
      <c r="A12" s="47"/>
      <c r="B12" s="78" t="s">
        <v>34</v>
      </c>
      <c r="C12" s="79"/>
      <c r="D12" s="80"/>
      <c r="E12" s="83">
        <f t="array" ref="E12">INDEX(Payroll!J:J,MATCH(E4,Payroll!B:B))</f>
        <v>7800</v>
      </c>
      <c r="F12" s="79"/>
      <c r="G12" s="79"/>
      <c r="H12" s="80"/>
      <c r="I12" s="84" t="s">
        <v>29</v>
      </c>
      <c r="J12" s="85"/>
      <c r="K12" s="78"/>
      <c r="L12" s="79"/>
      <c r="M12" s="80"/>
      <c r="N12" s="83"/>
      <c r="O12" s="79"/>
      <c r="P12" s="79"/>
      <c r="Q12" s="80"/>
      <c r="R12" s="84"/>
      <c r="S12" s="85"/>
      <c r="T12" s="48"/>
    </row>
    <row r="13" spans="1:22" ht="21.75" customHeight="1" x14ac:dyDescent="0.65">
      <c r="A13" s="47"/>
      <c r="B13" s="112"/>
      <c r="C13" s="113"/>
      <c r="D13" s="114"/>
      <c r="E13" s="115"/>
      <c r="F13" s="113"/>
      <c r="G13" s="113"/>
      <c r="H13" s="114"/>
      <c r="I13" s="93"/>
      <c r="J13" s="94"/>
      <c r="K13" s="112"/>
      <c r="L13" s="113"/>
      <c r="M13" s="114"/>
      <c r="N13" s="115"/>
      <c r="O13" s="113"/>
      <c r="P13" s="113"/>
      <c r="Q13" s="114"/>
      <c r="R13" s="93"/>
      <c r="S13" s="94"/>
      <c r="T13" s="48"/>
    </row>
    <row r="14" spans="1:22" ht="21.75" customHeight="1" thickBot="1" x14ac:dyDescent="0.7">
      <c r="A14" s="47"/>
      <c r="B14" s="112"/>
      <c r="C14" s="113"/>
      <c r="D14" s="114"/>
      <c r="E14" s="115"/>
      <c r="F14" s="113"/>
      <c r="G14" s="113"/>
      <c r="H14" s="114"/>
      <c r="I14" s="93"/>
      <c r="J14" s="94"/>
      <c r="K14" s="112"/>
      <c r="L14" s="113"/>
      <c r="M14" s="114"/>
      <c r="N14" s="115"/>
      <c r="O14" s="113"/>
      <c r="P14" s="113"/>
      <c r="Q14" s="114"/>
      <c r="R14" s="93"/>
      <c r="S14" s="94"/>
      <c r="T14" s="48"/>
    </row>
    <row r="15" spans="1:22" ht="21.75" customHeight="1" thickBot="1" x14ac:dyDescent="0.75">
      <c r="A15" s="47"/>
      <c r="B15" s="75" t="s">
        <v>13</v>
      </c>
      <c r="C15" s="74"/>
      <c r="D15" s="76"/>
      <c r="E15" s="77">
        <f>SUM(E9:H14)</f>
        <v>17599.957999999999</v>
      </c>
      <c r="F15" s="74"/>
      <c r="G15" s="74"/>
      <c r="H15" s="74"/>
      <c r="I15" s="71" t="s">
        <v>29</v>
      </c>
      <c r="J15" s="72"/>
      <c r="K15" s="75" t="s">
        <v>18</v>
      </c>
      <c r="L15" s="74"/>
      <c r="M15" s="76"/>
      <c r="N15" s="77">
        <f>SUM(N9:Q14)</f>
        <v>326.66690000000011</v>
      </c>
      <c r="O15" s="74"/>
      <c r="P15" s="74"/>
      <c r="Q15" s="74"/>
      <c r="R15" s="71" t="s">
        <v>29</v>
      </c>
      <c r="S15" s="72"/>
      <c r="T15" s="48"/>
    </row>
    <row r="16" spans="1:22" ht="4.5" customHeight="1" thickBot="1" x14ac:dyDescent="0.7">
      <c r="A16" s="47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8"/>
    </row>
    <row r="17" spans="1:20" ht="21.75" customHeight="1" thickBot="1" x14ac:dyDescent="0.8">
      <c r="A17" s="47"/>
      <c r="B17" s="50"/>
      <c r="C17" s="50"/>
      <c r="D17" s="50"/>
      <c r="E17" s="50"/>
      <c r="F17" s="50"/>
      <c r="G17" s="50"/>
      <c r="H17" s="50"/>
      <c r="I17" s="50"/>
      <c r="J17" s="50"/>
      <c r="K17" s="36" t="s">
        <v>8</v>
      </c>
      <c r="L17" s="37"/>
      <c r="M17" s="37"/>
      <c r="N17" s="73">
        <f>E15-N15</f>
        <v>17273.291099999999</v>
      </c>
      <c r="O17" s="74"/>
      <c r="P17" s="74"/>
      <c r="Q17" s="74"/>
      <c r="R17" s="38" t="s">
        <v>29</v>
      </c>
      <c r="S17" s="39"/>
      <c r="T17" s="48"/>
    </row>
    <row r="18" spans="1:20" ht="21.75" customHeight="1" x14ac:dyDescent="0.65">
      <c r="A18" s="47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8"/>
    </row>
    <row r="19" spans="1:20" ht="21.75" customHeight="1" x14ac:dyDescent="0.65">
      <c r="A19" s="47"/>
      <c r="B19" s="51" t="s">
        <v>30</v>
      </c>
      <c r="C19" s="50"/>
      <c r="D19" s="50"/>
      <c r="E19" s="40"/>
      <c r="F19" s="40"/>
      <c r="G19" s="40"/>
      <c r="H19" s="40"/>
      <c r="I19" s="40"/>
      <c r="J19" s="50"/>
      <c r="K19" s="51" t="s">
        <v>31</v>
      </c>
      <c r="L19" s="50"/>
      <c r="M19" s="50"/>
      <c r="N19" s="40"/>
      <c r="O19" s="40"/>
      <c r="P19" s="40"/>
      <c r="Q19" s="40"/>
      <c r="R19" s="40"/>
      <c r="S19" s="50"/>
      <c r="T19" s="48"/>
    </row>
    <row r="20" spans="1:20" ht="21.75" customHeight="1" thickBot="1" x14ac:dyDescent="0.7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4"/>
    </row>
    <row r="21" spans="1:20" ht="21.75" customHeight="1" x14ac:dyDescent="0.65"/>
    <row r="22" spans="1:20" ht="21.75" customHeight="1" x14ac:dyDescent="0.65"/>
    <row r="23" spans="1:20" ht="21.75" customHeight="1" x14ac:dyDescent="0.65"/>
    <row r="24" spans="1:20" ht="21.75" customHeight="1" x14ac:dyDescent="0.65"/>
    <row r="25" spans="1:20" ht="21.75" customHeight="1" x14ac:dyDescent="0.65"/>
    <row r="26" spans="1:20" ht="21.75" customHeight="1" x14ac:dyDescent="0.65"/>
    <row r="27" spans="1:20" ht="21.75" customHeight="1" x14ac:dyDescent="0.65"/>
    <row r="28" spans="1:20" ht="21.75" customHeight="1" x14ac:dyDescent="0.65"/>
    <row r="29" spans="1:20" ht="21.75" customHeight="1" x14ac:dyDescent="0.65"/>
    <row r="30" spans="1:20" ht="21.75" customHeight="1" x14ac:dyDescent="0.65"/>
    <row r="31" spans="1:20" ht="21.75" customHeight="1" x14ac:dyDescent="0.65"/>
    <row r="32" spans="1:20" ht="21.75" customHeight="1" x14ac:dyDescent="0.65"/>
    <row r="33" ht="21.75" customHeight="1" x14ac:dyDescent="0.65"/>
    <row r="34" ht="21.75" customHeight="1" x14ac:dyDescent="0.65"/>
    <row r="35" ht="21.75" customHeight="1" x14ac:dyDescent="0.65"/>
    <row r="36" ht="21.75" customHeight="1" x14ac:dyDescent="0.65"/>
    <row r="37" ht="21.75" customHeight="1" x14ac:dyDescent="0.65"/>
    <row r="38" ht="21.75" customHeight="1" x14ac:dyDescent="0.65"/>
    <row r="39" ht="21.75" customHeight="1" x14ac:dyDescent="0.65"/>
    <row r="40" ht="21.75" customHeight="1" x14ac:dyDescent="0.65"/>
    <row r="41" ht="21.75" customHeight="1" x14ac:dyDescent="0.65"/>
    <row r="42" ht="21.75" customHeight="1" x14ac:dyDescent="0.65"/>
    <row r="43" ht="21.75" customHeight="1" x14ac:dyDescent="0.65"/>
    <row r="44" ht="21.75" customHeight="1" x14ac:dyDescent="0.65"/>
    <row r="45" ht="21.75" customHeight="1" x14ac:dyDescent="0.65"/>
    <row r="46" ht="21.75" customHeight="1" x14ac:dyDescent="0.65"/>
    <row r="47" ht="21.75" customHeight="1" x14ac:dyDescent="0.65"/>
    <row r="48" ht="21.75" customHeight="1" x14ac:dyDescent="0.65"/>
    <row r="49" ht="21.75" customHeight="1" x14ac:dyDescent="0.65"/>
    <row r="50" ht="21.75" customHeight="1" x14ac:dyDescent="0.65"/>
    <row r="51" ht="21.75" customHeight="1" x14ac:dyDescent="0.65"/>
    <row r="52" ht="21.75" customHeight="1" x14ac:dyDescent="0.65"/>
    <row r="53" ht="21.75" customHeight="1" x14ac:dyDescent="0.65"/>
    <row r="54" ht="21.75" customHeight="1" x14ac:dyDescent="0.65"/>
    <row r="55" ht="21.75" customHeight="1" x14ac:dyDescent="0.65"/>
    <row r="56" ht="21.75" customHeight="1" x14ac:dyDescent="0.65"/>
    <row r="57" ht="21.75" customHeight="1" x14ac:dyDescent="0.65"/>
    <row r="58" ht="21.75" customHeight="1" x14ac:dyDescent="0.65"/>
    <row r="59" ht="21.75" customHeight="1" x14ac:dyDescent="0.65"/>
    <row r="60" ht="21.75" customHeight="1" x14ac:dyDescent="0.65"/>
    <row r="61" ht="21.75" customHeight="1" x14ac:dyDescent="0.65"/>
    <row r="62" ht="21.75" customHeight="1" x14ac:dyDescent="0.65"/>
    <row r="63" ht="21.75" customHeight="1" x14ac:dyDescent="0.65"/>
    <row r="64" ht="21.75" customHeight="1" x14ac:dyDescent="0.65"/>
    <row r="65" ht="21.75" customHeight="1" x14ac:dyDescent="0.65"/>
    <row r="66" ht="21.75" customHeight="1" x14ac:dyDescent="0.65"/>
    <row r="67" ht="21.75" customHeight="1" x14ac:dyDescent="0.65"/>
    <row r="68" ht="21.75" customHeight="1" x14ac:dyDescent="0.65"/>
    <row r="69" ht="21.75" customHeight="1" x14ac:dyDescent="0.65"/>
    <row r="70" ht="21.75" customHeight="1" x14ac:dyDescent="0.65"/>
    <row r="71" ht="21.75" customHeight="1" x14ac:dyDescent="0.65"/>
    <row r="72" ht="21.75" customHeight="1" x14ac:dyDescent="0.65"/>
    <row r="73" ht="21.75" customHeight="1" x14ac:dyDescent="0.65"/>
    <row r="74" ht="21.75" customHeight="1" x14ac:dyDescent="0.65"/>
    <row r="75" ht="21.75" customHeight="1" x14ac:dyDescent="0.65"/>
    <row r="76" ht="21.75" customHeight="1" x14ac:dyDescent="0.65"/>
    <row r="77" ht="21.75" customHeight="1" x14ac:dyDescent="0.65"/>
    <row r="78" ht="21.75" customHeight="1" x14ac:dyDescent="0.65"/>
    <row r="79" ht="21.75" customHeight="1" x14ac:dyDescent="0.65"/>
    <row r="80" ht="21.75" customHeight="1" x14ac:dyDescent="0.65"/>
    <row r="81" ht="21.75" customHeight="1" x14ac:dyDescent="0.65"/>
    <row r="82" ht="21.75" customHeight="1" x14ac:dyDescent="0.65"/>
    <row r="83" ht="21.75" customHeight="1" x14ac:dyDescent="0.65"/>
    <row r="84" ht="21.75" customHeight="1" x14ac:dyDescent="0.65"/>
    <row r="85" ht="21.75" customHeight="1" x14ac:dyDescent="0.65"/>
    <row r="86" ht="21.75" customHeight="1" x14ac:dyDescent="0.65"/>
    <row r="87" ht="21.75" customHeight="1" x14ac:dyDescent="0.65"/>
    <row r="88" ht="21.75" customHeight="1" x14ac:dyDescent="0.65"/>
    <row r="89" ht="21.75" customHeight="1" x14ac:dyDescent="0.65"/>
    <row r="90" ht="21.75" customHeight="1" x14ac:dyDescent="0.65"/>
    <row r="91" ht="21.75" customHeight="1" x14ac:dyDescent="0.65"/>
    <row r="92" ht="21.75" customHeight="1" x14ac:dyDescent="0.65"/>
    <row r="93" ht="21.75" customHeight="1" x14ac:dyDescent="0.65"/>
    <row r="94" ht="21.75" customHeight="1" x14ac:dyDescent="0.65"/>
    <row r="95" ht="21.75" customHeight="1" x14ac:dyDescent="0.65"/>
    <row r="96" ht="21.75" customHeight="1" x14ac:dyDescent="0.65"/>
    <row r="97" ht="21.75" customHeight="1" x14ac:dyDescent="0.65"/>
    <row r="98" ht="21.75" customHeight="1" x14ac:dyDescent="0.65"/>
    <row r="99" ht="21.75" customHeight="1" x14ac:dyDescent="0.65"/>
    <row r="100" ht="21.75" customHeight="1" x14ac:dyDescent="0.65"/>
    <row r="101" ht="21.75" customHeight="1" x14ac:dyDescent="0.65"/>
    <row r="102" ht="21.75" customHeight="1" x14ac:dyDescent="0.65"/>
    <row r="103" ht="21.75" customHeight="1" x14ac:dyDescent="0.65"/>
    <row r="104" ht="21.75" customHeight="1" x14ac:dyDescent="0.65"/>
    <row r="105" ht="21.75" customHeight="1" x14ac:dyDescent="0.65"/>
    <row r="106" ht="21.75" customHeight="1" x14ac:dyDescent="0.65"/>
    <row r="107" ht="21.75" customHeight="1" x14ac:dyDescent="0.65"/>
    <row r="108" ht="21.75" customHeight="1" x14ac:dyDescent="0.65"/>
    <row r="109" ht="21.75" customHeight="1" x14ac:dyDescent="0.65"/>
    <row r="110" ht="21.75" customHeight="1" x14ac:dyDescent="0.65"/>
    <row r="111" ht="21.75" customHeight="1" x14ac:dyDescent="0.65"/>
    <row r="112" ht="21.75" customHeight="1" x14ac:dyDescent="0.65"/>
    <row r="113" ht="21.75" customHeight="1" x14ac:dyDescent="0.65"/>
    <row r="114" ht="21.75" customHeight="1" x14ac:dyDescent="0.65"/>
    <row r="115" ht="21.75" customHeight="1" x14ac:dyDescent="0.65"/>
    <row r="116" ht="21.75" customHeight="1" x14ac:dyDescent="0.65"/>
    <row r="117" ht="21.75" customHeight="1" x14ac:dyDescent="0.65"/>
    <row r="118" ht="21.75" customHeight="1" x14ac:dyDescent="0.65"/>
    <row r="119" ht="21.75" customHeight="1" x14ac:dyDescent="0.65"/>
    <row r="120" ht="21.75" customHeight="1" x14ac:dyDescent="0.65"/>
    <row r="121" ht="21.75" customHeight="1" x14ac:dyDescent="0.65"/>
    <row r="122" ht="21.75" customHeight="1" x14ac:dyDescent="0.65"/>
    <row r="123" ht="21.75" customHeight="1" x14ac:dyDescent="0.65"/>
    <row r="124" ht="21.75" customHeight="1" x14ac:dyDescent="0.65"/>
    <row r="125" ht="21.75" customHeight="1" x14ac:dyDescent="0.65"/>
    <row r="126" ht="21.75" customHeight="1" x14ac:dyDescent="0.65"/>
    <row r="127" ht="21.75" customHeight="1" x14ac:dyDescent="0.65"/>
    <row r="128" ht="21.75" customHeight="1" x14ac:dyDescent="0.65"/>
    <row r="129" ht="21.75" customHeight="1" x14ac:dyDescent="0.65"/>
    <row r="130" ht="21.75" customHeight="1" x14ac:dyDescent="0.65"/>
    <row r="131" ht="21.75" customHeight="1" x14ac:dyDescent="0.65"/>
    <row r="132" ht="21.75" customHeight="1" x14ac:dyDescent="0.65"/>
    <row r="133" ht="21.75" customHeight="1" x14ac:dyDescent="0.65"/>
    <row r="134" ht="21.75" customHeight="1" x14ac:dyDescent="0.65"/>
    <row r="135" ht="21.75" customHeight="1" x14ac:dyDescent="0.65"/>
    <row r="136" ht="21.75" customHeight="1" x14ac:dyDescent="0.65"/>
    <row r="137" ht="21.75" customHeight="1" x14ac:dyDescent="0.65"/>
    <row r="138" ht="21.75" customHeight="1" x14ac:dyDescent="0.65"/>
    <row r="139" ht="21.75" customHeight="1" x14ac:dyDescent="0.65"/>
    <row r="140" ht="21.75" customHeight="1" x14ac:dyDescent="0.65"/>
    <row r="141" ht="21.75" customHeight="1" x14ac:dyDescent="0.65"/>
    <row r="142" ht="21.75" customHeight="1" x14ac:dyDescent="0.65"/>
    <row r="143" ht="21.75" customHeight="1" x14ac:dyDescent="0.65"/>
    <row r="144" ht="21.75" customHeight="1" x14ac:dyDescent="0.65"/>
    <row r="145" ht="21.75" customHeight="1" x14ac:dyDescent="0.65"/>
    <row r="146" ht="21.75" customHeight="1" x14ac:dyDescent="0.65"/>
    <row r="147" ht="21.75" customHeight="1" x14ac:dyDescent="0.65"/>
    <row r="148" ht="21.75" customHeight="1" x14ac:dyDescent="0.65"/>
    <row r="149" ht="21.75" customHeight="1" x14ac:dyDescent="0.65"/>
    <row r="150" ht="21.75" customHeight="1" x14ac:dyDescent="0.65"/>
    <row r="151" ht="21.75" customHeight="1" x14ac:dyDescent="0.65"/>
    <row r="152" ht="21.75" customHeight="1" x14ac:dyDescent="0.65"/>
    <row r="153" ht="21.75" customHeight="1" x14ac:dyDescent="0.65"/>
    <row r="154" ht="21.75" customHeight="1" x14ac:dyDescent="0.65"/>
    <row r="155" ht="21.75" customHeight="1" x14ac:dyDescent="0.65"/>
    <row r="156" ht="21.75" customHeight="1" x14ac:dyDescent="0.65"/>
    <row r="157" ht="21.75" customHeight="1" x14ac:dyDescent="0.65"/>
    <row r="158" ht="21.75" customHeight="1" x14ac:dyDescent="0.65"/>
    <row r="159" ht="21.75" customHeight="1" x14ac:dyDescent="0.65"/>
    <row r="160" ht="21.75" customHeight="1" x14ac:dyDescent="0.65"/>
    <row r="161" ht="21.75" customHeight="1" x14ac:dyDescent="0.65"/>
    <row r="162" ht="21.75" customHeight="1" x14ac:dyDescent="0.65"/>
    <row r="163" ht="21.75" customHeight="1" x14ac:dyDescent="0.65"/>
    <row r="164" ht="21.75" customHeight="1" x14ac:dyDescent="0.65"/>
    <row r="165" ht="21.75" customHeight="1" x14ac:dyDescent="0.65"/>
    <row r="166" ht="21.75" customHeight="1" x14ac:dyDescent="0.65"/>
    <row r="167" ht="21.75" customHeight="1" x14ac:dyDescent="0.65"/>
    <row r="168" ht="21.75" customHeight="1" x14ac:dyDescent="0.65"/>
    <row r="169" ht="21.75" customHeight="1" x14ac:dyDescent="0.65"/>
    <row r="170" ht="21.75" customHeight="1" x14ac:dyDescent="0.65"/>
    <row r="171" ht="21.75" customHeight="1" x14ac:dyDescent="0.65"/>
    <row r="172" ht="21.75" customHeight="1" x14ac:dyDescent="0.65"/>
    <row r="173" ht="21.75" customHeight="1" x14ac:dyDescent="0.65"/>
    <row r="174" ht="21.75" customHeight="1" x14ac:dyDescent="0.65"/>
    <row r="175" ht="21.75" customHeight="1" x14ac:dyDescent="0.65"/>
    <row r="176" ht="21.75" customHeight="1" x14ac:dyDescent="0.65"/>
    <row r="177" ht="21.75" customHeight="1" x14ac:dyDescent="0.65"/>
    <row r="178" ht="21.75" customHeight="1" x14ac:dyDescent="0.65"/>
    <row r="179" ht="21.75" customHeight="1" x14ac:dyDescent="0.65"/>
    <row r="180" ht="21.75" customHeight="1" x14ac:dyDescent="0.65"/>
    <row r="181" ht="21.75" customHeight="1" x14ac:dyDescent="0.65"/>
    <row r="182" ht="21.75" customHeight="1" x14ac:dyDescent="0.65"/>
    <row r="183" ht="21.75" customHeight="1" x14ac:dyDescent="0.65"/>
    <row r="184" ht="21.75" customHeight="1" x14ac:dyDescent="0.65"/>
    <row r="185" ht="21.75" customHeight="1" x14ac:dyDescent="0.65"/>
    <row r="186" ht="21.75" customHeight="1" x14ac:dyDescent="0.65"/>
    <row r="187" ht="21.75" customHeight="1" x14ac:dyDescent="0.65"/>
    <row r="188" ht="21.75" customHeight="1" x14ac:dyDescent="0.65"/>
    <row r="189" ht="21.75" customHeight="1" x14ac:dyDescent="0.65"/>
    <row r="190" ht="21.75" customHeight="1" x14ac:dyDescent="0.65"/>
    <row r="191" ht="21.75" customHeight="1" x14ac:dyDescent="0.65"/>
    <row r="192" ht="21.75" customHeight="1" x14ac:dyDescent="0.65"/>
    <row r="193" ht="21.75" customHeight="1" x14ac:dyDescent="0.65"/>
    <row r="194" ht="21.75" customHeight="1" x14ac:dyDescent="0.65"/>
    <row r="195" ht="21.75" customHeight="1" x14ac:dyDescent="0.65"/>
    <row r="196" ht="21.75" customHeight="1" x14ac:dyDescent="0.65"/>
    <row r="197" ht="21.75" customHeight="1" x14ac:dyDescent="0.65"/>
    <row r="198" ht="21.75" customHeight="1" x14ac:dyDescent="0.65"/>
    <row r="199" ht="21.75" customHeight="1" x14ac:dyDescent="0.65"/>
    <row r="200" ht="21.75" customHeight="1" x14ac:dyDescent="0.65"/>
    <row r="201" ht="21.75" customHeight="1" x14ac:dyDescent="0.65"/>
    <row r="202" ht="21.75" customHeight="1" x14ac:dyDescent="0.65"/>
    <row r="203" ht="21.75" customHeight="1" x14ac:dyDescent="0.65"/>
    <row r="204" ht="21.75" customHeight="1" x14ac:dyDescent="0.65"/>
    <row r="205" ht="21.75" customHeight="1" x14ac:dyDescent="0.65"/>
    <row r="206" ht="21.75" customHeight="1" x14ac:dyDescent="0.65"/>
    <row r="207" ht="21.75" customHeight="1" x14ac:dyDescent="0.65"/>
    <row r="208" ht="21.75" customHeight="1" x14ac:dyDescent="0.65"/>
    <row r="209" ht="21.75" customHeight="1" x14ac:dyDescent="0.65"/>
    <row r="210" ht="21.75" customHeight="1" x14ac:dyDescent="0.65"/>
    <row r="211" ht="21.75" customHeight="1" x14ac:dyDescent="0.65"/>
    <row r="212" ht="21.75" customHeight="1" x14ac:dyDescent="0.65"/>
    <row r="213" ht="21.75" customHeight="1" x14ac:dyDescent="0.65"/>
    <row r="214" ht="21.75" customHeight="1" x14ac:dyDescent="0.65"/>
    <row r="215" ht="21.75" customHeight="1" x14ac:dyDescent="0.65"/>
    <row r="216" ht="21.75" customHeight="1" x14ac:dyDescent="0.65"/>
    <row r="217" ht="21.75" customHeight="1" x14ac:dyDescent="0.65"/>
    <row r="218" ht="21.75" customHeight="1" x14ac:dyDescent="0.65"/>
    <row r="219" ht="21.75" customHeight="1" x14ac:dyDescent="0.65"/>
    <row r="220" ht="21.75" customHeight="1" x14ac:dyDescent="0.65"/>
    <row r="221" ht="21.75" customHeight="1" x14ac:dyDescent="0.65"/>
    <row r="222" ht="21.75" customHeight="1" x14ac:dyDescent="0.65"/>
    <row r="223" ht="21.75" customHeight="1" x14ac:dyDescent="0.65"/>
    <row r="224" ht="21.75" customHeight="1" x14ac:dyDescent="0.65"/>
    <row r="225" ht="21.75" customHeight="1" x14ac:dyDescent="0.65"/>
    <row r="226" ht="21.75" customHeight="1" x14ac:dyDescent="0.65"/>
    <row r="227" ht="21.75" customHeight="1" x14ac:dyDescent="0.65"/>
    <row r="228" ht="21.75" customHeight="1" x14ac:dyDescent="0.65"/>
    <row r="229" ht="21.75" customHeight="1" x14ac:dyDescent="0.65"/>
    <row r="230" ht="21.75" customHeight="1" x14ac:dyDescent="0.65"/>
    <row r="231" ht="21.75" customHeight="1" x14ac:dyDescent="0.65"/>
    <row r="232" ht="21.75" customHeight="1" x14ac:dyDescent="0.65"/>
    <row r="233" ht="21.75" customHeight="1" x14ac:dyDescent="0.65"/>
    <row r="234" ht="21.75" customHeight="1" x14ac:dyDescent="0.65"/>
    <row r="235" ht="21.75" customHeight="1" x14ac:dyDescent="0.65"/>
    <row r="236" ht="21.75" customHeight="1" x14ac:dyDescent="0.65"/>
    <row r="237" ht="21.75" customHeight="1" x14ac:dyDescent="0.65"/>
    <row r="238" ht="21.75" customHeight="1" x14ac:dyDescent="0.65"/>
    <row r="239" ht="21.75" customHeight="1" x14ac:dyDescent="0.65"/>
    <row r="240" ht="21.75" customHeight="1" x14ac:dyDescent="0.65"/>
    <row r="241" ht="21.75" customHeight="1" x14ac:dyDescent="0.65"/>
    <row r="242" ht="21.75" customHeight="1" x14ac:dyDescent="0.65"/>
    <row r="243" ht="21.75" customHeight="1" x14ac:dyDescent="0.65"/>
    <row r="244" ht="21.75" customHeight="1" x14ac:dyDescent="0.65"/>
    <row r="245" ht="21.75" customHeight="1" x14ac:dyDescent="0.65"/>
    <row r="246" ht="21.75" customHeight="1" x14ac:dyDescent="0.65"/>
    <row r="247" ht="21.75" customHeight="1" x14ac:dyDescent="0.65"/>
    <row r="248" ht="21.75" customHeight="1" x14ac:dyDescent="0.65"/>
    <row r="249" ht="21.75" customHeight="1" x14ac:dyDescent="0.65"/>
    <row r="250" ht="21.75" customHeight="1" x14ac:dyDescent="0.65"/>
    <row r="251" ht="21.75" customHeight="1" x14ac:dyDescent="0.65"/>
    <row r="252" ht="21.75" customHeight="1" x14ac:dyDescent="0.65"/>
    <row r="253" ht="21.75" customHeight="1" x14ac:dyDescent="0.65"/>
    <row r="254" ht="21.75" customHeight="1" x14ac:dyDescent="0.65"/>
    <row r="255" ht="21.75" customHeight="1" x14ac:dyDescent="0.65"/>
    <row r="256" ht="21.75" customHeight="1" x14ac:dyDescent="0.65"/>
    <row r="257" ht="21.75" customHeight="1" x14ac:dyDescent="0.65"/>
    <row r="258" ht="21.75" customHeight="1" x14ac:dyDescent="0.65"/>
    <row r="259" ht="21.75" customHeight="1" x14ac:dyDescent="0.65"/>
    <row r="260" ht="21.75" customHeight="1" x14ac:dyDescent="0.65"/>
    <row r="261" ht="21.75" customHeight="1" x14ac:dyDescent="0.65"/>
    <row r="262" ht="21.75" customHeight="1" x14ac:dyDescent="0.65"/>
    <row r="263" ht="21.75" customHeight="1" x14ac:dyDescent="0.65"/>
    <row r="264" ht="21.75" customHeight="1" x14ac:dyDescent="0.65"/>
    <row r="265" ht="21.75" customHeight="1" x14ac:dyDescent="0.65"/>
    <row r="266" ht="21.75" customHeight="1" x14ac:dyDescent="0.65"/>
    <row r="267" ht="21.75" customHeight="1" x14ac:dyDescent="0.65"/>
    <row r="268" ht="21.75" customHeight="1" x14ac:dyDescent="0.65"/>
    <row r="269" ht="21.75" customHeight="1" x14ac:dyDescent="0.65"/>
    <row r="270" ht="21.75" customHeight="1" x14ac:dyDescent="0.65"/>
    <row r="271" ht="21.75" customHeight="1" x14ac:dyDescent="0.65"/>
    <row r="272" ht="21.75" customHeight="1" x14ac:dyDescent="0.65"/>
    <row r="273" ht="21.75" customHeight="1" x14ac:dyDescent="0.65"/>
    <row r="274" ht="21.75" customHeight="1" x14ac:dyDescent="0.65"/>
    <row r="275" ht="21.75" customHeight="1" x14ac:dyDescent="0.65"/>
    <row r="276" ht="21.75" customHeight="1" x14ac:dyDescent="0.65"/>
    <row r="277" ht="21.75" customHeight="1" x14ac:dyDescent="0.65"/>
    <row r="278" ht="21.75" customHeight="1" x14ac:dyDescent="0.65"/>
    <row r="279" ht="21.75" customHeight="1" x14ac:dyDescent="0.65"/>
    <row r="280" ht="21.75" customHeight="1" x14ac:dyDescent="0.65"/>
    <row r="281" ht="21.75" customHeight="1" x14ac:dyDescent="0.65"/>
    <row r="282" ht="21.75" customHeight="1" x14ac:dyDescent="0.65"/>
    <row r="283" ht="21.75" customHeight="1" x14ac:dyDescent="0.65"/>
    <row r="284" ht="21.75" customHeight="1" x14ac:dyDescent="0.65"/>
    <row r="285" ht="21.75" customHeight="1" x14ac:dyDescent="0.65"/>
    <row r="286" ht="21.75" customHeight="1" x14ac:dyDescent="0.65"/>
    <row r="287" ht="21.75" customHeight="1" x14ac:dyDescent="0.65"/>
    <row r="288" ht="21.75" customHeight="1" x14ac:dyDescent="0.65"/>
    <row r="289" ht="21.75" customHeight="1" x14ac:dyDescent="0.65"/>
    <row r="290" ht="21.75" customHeight="1" x14ac:dyDescent="0.65"/>
    <row r="291" ht="21.75" customHeight="1" x14ac:dyDescent="0.65"/>
    <row r="292" ht="21.75" customHeight="1" x14ac:dyDescent="0.65"/>
    <row r="293" ht="21.75" customHeight="1" x14ac:dyDescent="0.65"/>
    <row r="294" ht="21.75" customHeight="1" x14ac:dyDescent="0.65"/>
    <row r="295" ht="21.75" customHeight="1" x14ac:dyDescent="0.65"/>
    <row r="296" ht="21.75" customHeight="1" x14ac:dyDescent="0.65"/>
    <row r="297" ht="21.75" customHeight="1" x14ac:dyDescent="0.65"/>
    <row r="298" ht="21.75" customHeight="1" x14ac:dyDescent="0.65"/>
    <row r="299" ht="21.75" customHeight="1" x14ac:dyDescent="0.65"/>
    <row r="300" ht="21.75" customHeight="1" x14ac:dyDescent="0.65"/>
    <row r="301" ht="21.75" customHeight="1" x14ac:dyDescent="0.65"/>
    <row r="302" ht="21.75" customHeight="1" x14ac:dyDescent="0.65"/>
    <row r="303" ht="21.75" customHeight="1" x14ac:dyDescent="0.65"/>
    <row r="304" ht="21.75" customHeight="1" x14ac:dyDescent="0.65"/>
    <row r="305" ht="21.75" customHeight="1" x14ac:dyDescent="0.65"/>
    <row r="306" ht="21.75" customHeight="1" x14ac:dyDescent="0.65"/>
    <row r="307" ht="21.75" customHeight="1" x14ac:dyDescent="0.65"/>
    <row r="308" ht="21.75" customHeight="1" x14ac:dyDescent="0.65"/>
    <row r="309" ht="21.75" customHeight="1" x14ac:dyDescent="0.65"/>
    <row r="310" ht="21.75" customHeight="1" x14ac:dyDescent="0.65"/>
    <row r="311" ht="21.75" customHeight="1" x14ac:dyDescent="0.65"/>
    <row r="312" ht="21.75" customHeight="1" x14ac:dyDescent="0.65"/>
    <row r="313" ht="21.75" customHeight="1" x14ac:dyDescent="0.65"/>
    <row r="314" ht="21.75" customHeight="1" x14ac:dyDescent="0.65"/>
    <row r="315" ht="21.75" customHeight="1" x14ac:dyDescent="0.65"/>
    <row r="316" ht="21.75" customHeight="1" x14ac:dyDescent="0.65"/>
    <row r="317" ht="21.75" customHeight="1" x14ac:dyDescent="0.65"/>
    <row r="318" ht="21.75" customHeight="1" x14ac:dyDescent="0.65"/>
    <row r="319" ht="21.75" customHeight="1" x14ac:dyDescent="0.65"/>
    <row r="320" ht="21.75" customHeight="1" x14ac:dyDescent="0.65"/>
    <row r="321" ht="21.75" customHeight="1" x14ac:dyDescent="0.65"/>
    <row r="322" ht="21.75" customHeight="1" x14ac:dyDescent="0.65"/>
    <row r="323" ht="21.75" customHeight="1" x14ac:dyDescent="0.65"/>
    <row r="324" ht="21.75" customHeight="1" x14ac:dyDescent="0.65"/>
    <row r="325" ht="21.75" customHeight="1" x14ac:dyDescent="0.65"/>
    <row r="326" ht="21.75" customHeight="1" x14ac:dyDescent="0.65"/>
    <row r="327" ht="21.75" customHeight="1" x14ac:dyDescent="0.65"/>
    <row r="328" ht="21.75" customHeight="1" x14ac:dyDescent="0.65"/>
    <row r="329" ht="21.75" customHeight="1" x14ac:dyDescent="0.65"/>
    <row r="330" ht="21.75" customHeight="1" x14ac:dyDescent="0.65"/>
    <row r="331" ht="21.75" customHeight="1" x14ac:dyDescent="0.65"/>
    <row r="332" ht="21.75" customHeight="1" x14ac:dyDescent="0.65"/>
    <row r="333" ht="21.75" customHeight="1" x14ac:dyDescent="0.65"/>
    <row r="334" ht="21.75" customHeight="1" x14ac:dyDescent="0.65"/>
    <row r="335" ht="21.75" customHeight="1" x14ac:dyDescent="0.65"/>
    <row r="336" ht="21.75" customHeight="1" x14ac:dyDescent="0.65"/>
    <row r="337" ht="21.75" customHeight="1" x14ac:dyDescent="0.65"/>
    <row r="338" ht="21.75" customHeight="1" x14ac:dyDescent="0.65"/>
    <row r="339" ht="21.75" customHeight="1" x14ac:dyDescent="0.65"/>
    <row r="340" ht="21.75" customHeight="1" x14ac:dyDescent="0.65"/>
    <row r="341" ht="21.75" customHeight="1" x14ac:dyDescent="0.65"/>
    <row r="342" ht="21.75" customHeight="1" x14ac:dyDescent="0.65"/>
    <row r="343" ht="21.75" customHeight="1" x14ac:dyDescent="0.65"/>
    <row r="344" ht="21.75" customHeight="1" x14ac:dyDescent="0.65"/>
    <row r="345" ht="21.75" customHeight="1" x14ac:dyDescent="0.65"/>
    <row r="346" ht="21.75" customHeight="1" x14ac:dyDescent="0.65"/>
    <row r="347" ht="21.75" customHeight="1" x14ac:dyDescent="0.65"/>
    <row r="348" ht="21.75" customHeight="1" x14ac:dyDescent="0.65"/>
    <row r="349" ht="21.75" customHeight="1" x14ac:dyDescent="0.65"/>
    <row r="350" ht="21.75" customHeight="1" x14ac:dyDescent="0.65"/>
    <row r="351" ht="21.75" customHeight="1" x14ac:dyDescent="0.65"/>
    <row r="352" ht="21.75" customHeight="1" x14ac:dyDescent="0.65"/>
    <row r="353" ht="21.75" customHeight="1" x14ac:dyDescent="0.65"/>
    <row r="354" ht="21.75" customHeight="1" x14ac:dyDescent="0.65"/>
    <row r="355" ht="21.75" customHeight="1" x14ac:dyDescent="0.65"/>
    <row r="356" ht="21.75" customHeight="1" x14ac:dyDescent="0.65"/>
    <row r="357" ht="21.75" customHeight="1" x14ac:dyDescent="0.65"/>
    <row r="358" ht="21.75" customHeight="1" x14ac:dyDescent="0.65"/>
    <row r="359" ht="21.75" customHeight="1" x14ac:dyDescent="0.65"/>
    <row r="360" ht="21.75" customHeight="1" x14ac:dyDescent="0.65"/>
    <row r="361" ht="21.75" customHeight="1" x14ac:dyDescent="0.65"/>
    <row r="362" ht="21.75" customHeight="1" x14ac:dyDescent="0.65"/>
    <row r="363" ht="21.75" customHeight="1" x14ac:dyDescent="0.65"/>
    <row r="364" ht="21.75" customHeight="1" x14ac:dyDescent="0.65"/>
    <row r="365" ht="21.75" customHeight="1" x14ac:dyDescent="0.65"/>
    <row r="366" ht="21.75" customHeight="1" x14ac:dyDescent="0.65"/>
    <row r="367" ht="21.75" customHeight="1" x14ac:dyDescent="0.65"/>
    <row r="368" ht="21.75" customHeight="1" x14ac:dyDescent="0.65"/>
    <row r="369" ht="21.75" customHeight="1" x14ac:dyDescent="0.65"/>
    <row r="370" ht="21.75" customHeight="1" x14ac:dyDescent="0.65"/>
    <row r="371" ht="21.75" customHeight="1" x14ac:dyDescent="0.65"/>
    <row r="372" ht="21.75" customHeight="1" x14ac:dyDescent="0.65"/>
    <row r="373" ht="21.75" customHeight="1" x14ac:dyDescent="0.65"/>
    <row r="374" ht="21.75" customHeight="1" x14ac:dyDescent="0.65"/>
    <row r="375" ht="21.75" customHeight="1" x14ac:dyDescent="0.65"/>
    <row r="376" ht="21.75" customHeight="1" x14ac:dyDescent="0.65"/>
    <row r="377" ht="21.75" customHeight="1" x14ac:dyDescent="0.65"/>
    <row r="378" ht="21.75" customHeight="1" x14ac:dyDescent="0.65"/>
    <row r="379" ht="21.75" customHeight="1" x14ac:dyDescent="0.65"/>
    <row r="380" ht="21.75" customHeight="1" x14ac:dyDescent="0.65"/>
    <row r="381" ht="21.75" customHeight="1" x14ac:dyDescent="0.65"/>
    <row r="382" ht="21.75" customHeight="1" x14ac:dyDescent="0.65"/>
    <row r="383" ht="21.75" customHeight="1" x14ac:dyDescent="0.65"/>
    <row r="384" ht="21.75" customHeight="1" x14ac:dyDescent="0.65"/>
    <row r="385" ht="21.75" customHeight="1" x14ac:dyDescent="0.65"/>
    <row r="386" ht="21.75" customHeight="1" x14ac:dyDescent="0.65"/>
    <row r="387" ht="21.75" customHeight="1" x14ac:dyDescent="0.65"/>
    <row r="388" ht="21.75" customHeight="1" x14ac:dyDescent="0.65"/>
    <row r="389" ht="21.75" customHeight="1" x14ac:dyDescent="0.65"/>
    <row r="390" ht="21.75" customHeight="1" x14ac:dyDescent="0.65"/>
    <row r="391" ht="21.75" customHeight="1" x14ac:dyDescent="0.65"/>
    <row r="392" ht="21.75" customHeight="1" x14ac:dyDescent="0.65"/>
    <row r="393" ht="21.75" customHeight="1" x14ac:dyDescent="0.65"/>
    <row r="394" ht="21.75" customHeight="1" x14ac:dyDescent="0.65"/>
    <row r="395" ht="21.75" customHeight="1" x14ac:dyDescent="0.65"/>
    <row r="396" ht="21.75" customHeight="1" x14ac:dyDescent="0.65"/>
    <row r="397" ht="21.75" customHeight="1" x14ac:dyDescent="0.65"/>
    <row r="398" ht="21.75" customHeight="1" x14ac:dyDescent="0.65"/>
    <row r="399" ht="21.75" customHeight="1" x14ac:dyDescent="0.65"/>
    <row r="400" ht="21.75" customHeight="1" x14ac:dyDescent="0.65"/>
    <row r="401" ht="21.75" customHeight="1" x14ac:dyDescent="0.65"/>
    <row r="402" ht="21.75" customHeight="1" x14ac:dyDescent="0.65"/>
    <row r="403" ht="21.75" customHeight="1" x14ac:dyDescent="0.65"/>
    <row r="404" ht="21.75" customHeight="1" x14ac:dyDescent="0.65"/>
    <row r="405" ht="21.75" customHeight="1" x14ac:dyDescent="0.65"/>
    <row r="406" ht="21.75" customHeight="1" x14ac:dyDescent="0.65"/>
    <row r="407" ht="21.75" customHeight="1" x14ac:dyDescent="0.65"/>
    <row r="408" ht="21.75" customHeight="1" x14ac:dyDescent="0.65"/>
    <row r="409" ht="21.75" customHeight="1" x14ac:dyDescent="0.65"/>
    <row r="410" ht="21.75" customHeight="1" x14ac:dyDescent="0.65"/>
    <row r="411" ht="21.75" customHeight="1" x14ac:dyDescent="0.65"/>
    <row r="412" ht="21.75" customHeight="1" x14ac:dyDescent="0.65"/>
    <row r="413" ht="21.75" customHeight="1" x14ac:dyDescent="0.65"/>
    <row r="414" ht="21.75" customHeight="1" x14ac:dyDescent="0.65"/>
    <row r="415" ht="21.75" customHeight="1" x14ac:dyDescent="0.65"/>
    <row r="416" ht="21.75" customHeight="1" x14ac:dyDescent="0.65"/>
    <row r="417" ht="21.75" customHeight="1" x14ac:dyDescent="0.65"/>
    <row r="418" ht="21.75" customHeight="1" x14ac:dyDescent="0.65"/>
    <row r="419" ht="21.75" customHeight="1" x14ac:dyDescent="0.65"/>
    <row r="420" ht="21.75" customHeight="1" x14ac:dyDescent="0.65"/>
    <row r="421" ht="21.75" customHeight="1" x14ac:dyDescent="0.65"/>
    <row r="422" ht="21.75" customHeight="1" x14ac:dyDescent="0.65"/>
    <row r="423" ht="21.75" customHeight="1" x14ac:dyDescent="0.65"/>
    <row r="424" ht="21.75" customHeight="1" x14ac:dyDescent="0.65"/>
    <row r="425" ht="21.75" customHeight="1" x14ac:dyDescent="0.65"/>
    <row r="426" ht="21.75" customHeight="1" x14ac:dyDescent="0.65"/>
    <row r="427" ht="21.75" customHeight="1" x14ac:dyDescent="0.65"/>
    <row r="428" ht="21.75" customHeight="1" x14ac:dyDescent="0.65"/>
    <row r="429" ht="21.75" customHeight="1" x14ac:dyDescent="0.65"/>
    <row r="430" ht="21.75" customHeight="1" x14ac:dyDescent="0.65"/>
    <row r="431" ht="21.75" customHeight="1" x14ac:dyDescent="0.65"/>
    <row r="432" ht="21.75" customHeight="1" x14ac:dyDescent="0.65"/>
    <row r="433" ht="21.75" customHeight="1" x14ac:dyDescent="0.65"/>
    <row r="434" ht="21.75" customHeight="1" x14ac:dyDescent="0.65"/>
    <row r="435" ht="21.75" customHeight="1" x14ac:dyDescent="0.65"/>
    <row r="436" ht="21.75" customHeight="1" x14ac:dyDescent="0.65"/>
    <row r="437" ht="21.75" customHeight="1" x14ac:dyDescent="0.65"/>
    <row r="438" ht="21.75" customHeight="1" x14ac:dyDescent="0.65"/>
    <row r="439" ht="21.75" customHeight="1" x14ac:dyDescent="0.65"/>
    <row r="440" ht="21.75" customHeight="1" x14ac:dyDescent="0.65"/>
    <row r="441" ht="21.75" customHeight="1" x14ac:dyDescent="0.65"/>
    <row r="442" ht="21.75" customHeight="1" x14ac:dyDescent="0.65"/>
    <row r="443" ht="21.75" customHeight="1" x14ac:dyDescent="0.65"/>
    <row r="444" ht="21.75" customHeight="1" x14ac:dyDescent="0.65"/>
    <row r="445" ht="21.75" customHeight="1" x14ac:dyDescent="0.65"/>
    <row r="446" ht="21.75" customHeight="1" x14ac:dyDescent="0.65"/>
    <row r="447" ht="21.75" customHeight="1" x14ac:dyDescent="0.65"/>
    <row r="448" ht="21.75" customHeight="1" x14ac:dyDescent="0.65"/>
    <row r="449" ht="21.75" customHeight="1" x14ac:dyDescent="0.65"/>
    <row r="450" ht="21.75" customHeight="1" x14ac:dyDescent="0.65"/>
    <row r="451" ht="21.75" customHeight="1" x14ac:dyDescent="0.65"/>
    <row r="452" ht="21.75" customHeight="1" x14ac:dyDescent="0.65"/>
    <row r="453" ht="21.75" customHeight="1" x14ac:dyDescent="0.65"/>
    <row r="454" ht="21.75" customHeight="1" x14ac:dyDescent="0.65"/>
    <row r="455" ht="21.75" customHeight="1" x14ac:dyDescent="0.65"/>
    <row r="456" ht="21.75" customHeight="1" x14ac:dyDescent="0.65"/>
    <row r="457" ht="21.75" customHeight="1" x14ac:dyDescent="0.65"/>
    <row r="458" ht="21.75" customHeight="1" x14ac:dyDescent="0.65"/>
    <row r="459" ht="21.75" customHeight="1" x14ac:dyDescent="0.65"/>
    <row r="460" ht="21.75" customHeight="1" x14ac:dyDescent="0.65"/>
    <row r="461" ht="21.75" customHeight="1" x14ac:dyDescent="0.65"/>
    <row r="462" ht="21.75" customHeight="1" x14ac:dyDescent="0.65"/>
    <row r="463" ht="21.75" customHeight="1" x14ac:dyDescent="0.65"/>
    <row r="464" ht="21.75" customHeight="1" x14ac:dyDescent="0.65"/>
    <row r="465" ht="21.75" customHeight="1" x14ac:dyDescent="0.65"/>
    <row r="466" ht="21.75" customHeight="1" x14ac:dyDescent="0.65"/>
    <row r="467" ht="21.75" customHeight="1" x14ac:dyDescent="0.65"/>
    <row r="468" ht="21.75" customHeight="1" x14ac:dyDescent="0.65"/>
    <row r="469" ht="21.75" customHeight="1" x14ac:dyDescent="0.65"/>
    <row r="470" ht="21.75" customHeight="1" x14ac:dyDescent="0.65"/>
    <row r="471" ht="21.75" customHeight="1" x14ac:dyDescent="0.65"/>
    <row r="472" ht="21.75" customHeight="1" x14ac:dyDescent="0.65"/>
    <row r="473" ht="21.75" customHeight="1" x14ac:dyDescent="0.65"/>
    <row r="474" ht="21.75" customHeight="1" x14ac:dyDescent="0.65"/>
    <row r="475" ht="21.75" customHeight="1" x14ac:dyDescent="0.65"/>
    <row r="476" ht="21.75" customHeight="1" x14ac:dyDescent="0.65"/>
    <row r="477" ht="21.75" customHeight="1" x14ac:dyDescent="0.65"/>
    <row r="478" ht="21.75" customHeight="1" x14ac:dyDescent="0.65"/>
    <row r="479" ht="21.75" customHeight="1" x14ac:dyDescent="0.65"/>
    <row r="480" ht="21.75" customHeight="1" x14ac:dyDescent="0.65"/>
    <row r="481" ht="21.75" customHeight="1" x14ac:dyDescent="0.65"/>
    <row r="482" ht="21.75" customHeight="1" x14ac:dyDescent="0.65"/>
    <row r="483" ht="21.75" customHeight="1" x14ac:dyDescent="0.65"/>
    <row r="484" ht="21.75" customHeight="1" x14ac:dyDescent="0.65"/>
    <row r="485" ht="21.75" customHeight="1" x14ac:dyDescent="0.65"/>
    <row r="486" ht="21.75" customHeight="1" x14ac:dyDescent="0.65"/>
    <row r="487" ht="21.75" customHeight="1" x14ac:dyDescent="0.65"/>
    <row r="488" ht="21.75" customHeight="1" x14ac:dyDescent="0.65"/>
    <row r="489" ht="21.75" customHeight="1" x14ac:dyDescent="0.65"/>
    <row r="490" ht="21.75" customHeight="1" x14ac:dyDescent="0.65"/>
    <row r="491" ht="21.75" customHeight="1" x14ac:dyDescent="0.65"/>
    <row r="492" ht="21.75" customHeight="1" x14ac:dyDescent="0.65"/>
    <row r="493" ht="21.75" customHeight="1" x14ac:dyDescent="0.65"/>
    <row r="494" ht="21.75" customHeight="1" x14ac:dyDescent="0.65"/>
    <row r="495" ht="21.75" customHeight="1" x14ac:dyDescent="0.65"/>
    <row r="496" ht="21.75" customHeight="1" x14ac:dyDescent="0.65"/>
    <row r="497" ht="21.75" customHeight="1" x14ac:dyDescent="0.65"/>
    <row r="498" ht="21.75" customHeight="1" x14ac:dyDescent="0.65"/>
    <row r="499" ht="21.75" customHeight="1" x14ac:dyDescent="0.65"/>
    <row r="500" ht="21.75" customHeight="1" x14ac:dyDescent="0.65"/>
    <row r="501" ht="21.75" customHeight="1" x14ac:dyDescent="0.65"/>
    <row r="502" ht="21.75" customHeight="1" x14ac:dyDescent="0.65"/>
    <row r="503" ht="21.75" customHeight="1" x14ac:dyDescent="0.65"/>
    <row r="504" ht="21.75" customHeight="1" x14ac:dyDescent="0.65"/>
    <row r="505" ht="21.75" customHeight="1" x14ac:dyDescent="0.65"/>
    <row r="506" ht="21.75" customHeight="1" x14ac:dyDescent="0.65"/>
    <row r="507" ht="21.75" customHeight="1" x14ac:dyDescent="0.65"/>
    <row r="508" ht="21.75" customHeight="1" x14ac:dyDescent="0.65"/>
    <row r="509" ht="21.75" customHeight="1" x14ac:dyDescent="0.65"/>
    <row r="510" ht="21.75" customHeight="1" x14ac:dyDescent="0.65"/>
    <row r="511" ht="21.75" customHeight="1" x14ac:dyDescent="0.65"/>
    <row r="512" ht="21.75" customHeight="1" x14ac:dyDescent="0.65"/>
    <row r="513" ht="21.75" customHeight="1" x14ac:dyDescent="0.65"/>
    <row r="514" ht="21.75" customHeight="1" x14ac:dyDescent="0.65"/>
    <row r="515" ht="21.75" customHeight="1" x14ac:dyDescent="0.65"/>
    <row r="516" ht="21.75" customHeight="1" x14ac:dyDescent="0.65"/>
    <row r="517" ht="21.75" customHeight="1" x14ac:dyDescent="0.65"/>
    <row r="518" ht="21.75" customHeight="1" x14ac:dyDescent="0.65"/>
    <row r="519" ht="21.75" customHeight="1" x14ac:dyDescent="0.65"/>
    <row r="520" ht="21.75" customHeight="1" x14ac:dyDescent="0.65"/>
    <row r="521" ht="21.75" customHeight="1" x14ac:dyDescent="0.65"/>
    <row r="522" ht="21.75" customHeight="1" x14ac:dyDescent="0.65"/>
    <row r="523" ht="21.75" customHeight="1" x14ac:dyDescent="0.65"/>
    <row r="524" ht="21.75" customHeight="1" x14ac:dyDescent="0.65"/>
    <row r="525" ht="21.75" customHeight="1" x14ac:dyDescent="0.65"/>
    <row r="526" ht="21.75" customHeight="1" x14ac:dyDescent="0.65"/>
    <row r="527" ht="21.75" customHeight="1" x14ac:dyDescent="0.65"/>
    <row r="528" ht="21.75" customHeight="1" x14ac:dyDescent="0.65"/>
    <row r="529" ht="21.75" customHeight="1" x14ac:dyDescent="0.65"/>
    <row r="530" ht="21.75" customHeight="1" x14ac:dyDescent="0.65"/>
    <row r="531" ht="21.75" customHeight="1" x14ac:dyDescent="0.65"/>
    <row r="532" ht="21.75" customHeight="1" x14ac:dyDescent="0.65"/>
    <row r="533" ht="21.75" customHeight="1" x14ac:dyDescent="0.65"/>
    <row r="534" ht="21.75" customHeight="1" x14ac:dyDescent="0.65"/>
    <row r="535" ht="21.75" customHeight="1" x14ac:dyDescent="0.65"/>
    <row r="536" ht="21.75" customHeight="1" x14ac:dyDescent="0.65"/>
    <row r="537" ht="21.75" customHeight="1" x14ac:dyDescent="0.65"/>
    <row r="538" ht="21.75" customHeight="1" x14ac:dyDescent="0.65"/>
    <row r="539" ht="21.75" customHeight="1" x14ac:dyDescent="0.65"/>
    <row r="540" ht="21.75" customHeight="1" x14ac:dyDescent="0.65"/>
    <row r="541" ht="21.75" customHeight="1" x14ac:dyDescent="0.65"/>
    <row r="542" ht="21.75" customHeight="1" x14ac:dyDescent="0.65"/>
    <row r="543" ht="21.75" customHeight="1" x14ac:dyDescent="0.65"/>
    <row r="544" ht="21.75" customHeight="1" x14ac:dyDescent="0.65"/>
    <row r="545" ht="21.75" customHeight="1" x14ac:dyDescent="0.65"/>
    <row r="546" ht="21.75" customHeight="1" x14ac:dyDescent="0.65"/>
    <row r="547" ht="21.75" customHeight="1" x14ac:dyDescent="0.65"/>
    <row r="548" ht="21.75" customHeight="1" x14ac:dyDescent="0.65"/>
    <row r="549" ht="21.75" customHeight="1" x14ac:dyDescent="0.65"/>
    <row r="550" ht="21.75" customHeight="1" x14ac:dyDescent="0.65"/>
    <row r="551" ht="21.75" customHeight="1" x14ac:dyDescent="0.65"/>
    <row r="552" ht="21.75" customHeight="1" x14ac:dyDescent="0.65"/>
    <row r="553" ht="21.75" customHeight="1" x14ac:dyDescent="0.65"/>
    <row r="554" ht="21.75" customHeight="1" x14ac:dyDescent="0.65"/>
    <row r="555" ht="21.75" customHeight="1" x14ac:dyDescent="0.65"/>
    <row r="556" ht="21.75" customHeight="1" x14ac:dyDescent="0.65"/>
    <row r="557" ht="21.75" customHeight="1" x14ac:dyDescent="0.65"/>
    <row r="558" ht="21.75" customHeight="1" x14ac:dyDescent="0.65"/>
    <row r="559" ht="21.75" customHeight="1" x14ac:dyDescent="0.65"/>
    <row r="560" ht="21.75" customHeight="1" x14ac:dyDescent="0.65"/>
    <row r="561" ht="21.75" customHeight="1" x14ac:dyDescent="0.65"/>
    <row r="562" ht="21.75" customHeight="1" x14ac:dyDescent="0.65"/>
    <row r="563" ht="21.75" customHeight="1" x14ac:dyDescent="0.65"/>
    <row r="564" ht="21.75" customHeight="1" x14ac:dyDescent="0.65"/>
    <row r="565" ht="21.75" customHeight="1" x14ac:dyDescent="0.65"/>
    <row r="566" ht="21.75" customHeight="1" x14ac:dyDescent="0.65"/>
    <row r="567" ht="21.75" customHeight="1" x14ac:dyDescent="0.65"/>
    <row r="568" ht="21.75" customHeight="1" x14ac:dyDescent="0.65"/>
    <row r="569" ht="21.75" customHeight="1" x14ac:dyDescent="0.65"/>
    <row r="570" ht="21.75" customHeight="1" x14ac:dyDescent="0.65"/>
    <row r="571" ht="21.75" customHeight="1" x14ac:dyDescent="0.65"/>
    <row r="572" ht="21.75" customHeight="1" x14ac:dyDescent="0.65"/>
    <row r="573" ht="21.75" customHeight="1" x14ac:dyDescent="0.65"/>
    <row r="574" ht="21.75" customHeight="1" x14ac:dyDescent="0.65"/>
    <row r="575" ht="21.75" customHeight="1" x14ac:dyDescent="0.65"/>
    <row r="576" ht="21.75" customHeight="1" x14ac:dyDescent="0.65"/>
    <row r="577" ht="21.75" customHeight="1" x14ac:dyDescent="0.65"/>
    <row r="578" ht="21.75" customHeight="1" x14ac:dyDescent="0.65"/>
    <row r="579" ht="21.75" customHeight="1" x14ac:dyDescent="0.65"/>
    <row r="580" ht="21.75" customHeight="1" x14ac:dyDescent="0.65"/>
    <row r="581" ht="21.75" customHeight="1" x14ac:dyDescent="0.65"/>
    <row r="582" ht="21.75" customHeight="1" x14ac:dyDescent="0.65"/>
    <row r="583" ht="21.75" customHeight="1" x14ac:dyDescent="0.65"/>
    <row r="584" ht="21.75" customHeight="1" x14ac:dyDescent="0.65"/>
    <row r="585" ht="21.75" customHeight="1" x14ac:dyDescent="0.65"/>
    <row r="586" ht="21.75" customHeight="1" x14ac:dyDescent="0.65"/>
    <row r="587" ht="21.75" customHeight="1" x14ac:dyDescent="0.65"/>
    <row r="588" ht="21.75" customHeight="1" x14ac:dyDescent="0.65"/>
    <row r="589" ht="21.75" customHeight="1" x14ac:dyDescent="0.65"/>
    <row r="590" ht="21.75" customHeight="1" x14ac:dyDescent="0.65"/>
    <row r="591" ht="21.75" customHeight="1" x14ac:dyDescent="0.65"/>
    <row r="592" ht="21.75" customHeight="1" x14ac:dyDescent="0.65"/>
    <row r="593" ht="21.75" customHeight="1" x14ac:dyDescent="0.65"/>
    <row r="594" ht="21.75" customHeight="1" x14ac:dyDescent="0.65"/>
    <row r="595" ht="21.75" customHeight="1" x14ac:dyDescent="0.65"/>
    <row r="596" ht="21.75" customHeight="1" x14ac:dyDescent="0.65"/>
    <row r="597" ht="21.75" customHeight="1" x14ac:dyDescent="0.65"/>
    <row r="598" ht="21.75" customHeight="1" x14ac:dyDescent="0.65"/>
    <row r="599" ht="21.75" customHeight="1" x14ac:dyDescent="0.65"/>
    <row r="600" ht="21.75" customHeight="1" x14ac:dyDescent="0.65"/>
    <row r="601" ht="21.75" customHeight="1" x14ac:dyDescent="0.65"/>
    <row r="602" ht="21.75" customHeight="1" x14ac:dyDescent="0.65"/>
    <row r="603" ht="21.75" customHeight="1" x14ac:dyDescent="0.65"/>
    <row r="604" ht="21.75" customHeight="1" x14ac:dyDescent="0.65"/>
    <row r="605" ht="21.75" customHeight="1" x14ac:dyDescent="0.65"/>
    <row r="606" ht="21.75" customHeight="1" x14ac:dyDescent="0.65"/>
    <row r="607" ht="21.75" customHeight="1" x14ac:dyDescent="0.65"/>
    <row r="608" ht="21.75" customHeight="1" x14ac:dyDescent="0.65"/>
    <row r="609" ht="21.75" customHeight="1" x14ac:dyDescent="0.65"/>
    <row r="610" ht="21.75" customHeight="1" x14ac:dyDescent="0.65"/>
    <row r="611" ht="21.75" customHeight="1" x14ac:dyDescent="0.65"/>
    <row r="612" ht="21.75" customHeight="1" x14ac:dyDescent="0.65"/>
    <row r="613" ht="21.75" customHeight="1" x14ac:dyDescent="0.65"/>
    <row r="614" ht="21.75" customHeight="1" x14ac:dyDescent="0.65"/>
    <row r="615" ht="21.75" customHeight="1" x14ac:dyDescent="0.65"/>
    <row r="616" ht="21.75" customHeight="1" x14ac:dyDescent="0.65"/>
    <row r="617" ht="21.75" customHeight="1" x14ac:dyDescent="0.65"/>
    <row r="618" ht="21.75" customHeight="1" x14ac:dyDescent="0.65"/>
    <row r="619" ht="21.75" customHeight="1" x14ac:dyDescent="0.65"/>
    <row r="620" ht="21.75" customHeight="1" x14ac:dyDescent="0.65"/>
    <row r="621" ht="21.75" customHeight="1" x14ac:dyDescent="0.65"/>
    <row r="622" ht="21.75" customHeight="1" x14ac:dyDescent="0.65"/>
    <row r="623" ht="21.75" customHeight="1" x14ac:dyDescent="0.65"/>
    <row r="624" ht="21.75" customHeight="1" x14ac:dyDescent="0.65"/>
    <row r="625" ht="21.75" customHeight="1" x14ac:dyDescent="0.65"/>
    <row r="626" ht="21.75" customHeight="1" x14ac:dyDescent="0.65"/>
    <row r="627" ht="21.75" customHeight="1" x14ac:dyDescent="0.65"/>
    <row r="628" ht="21.75" customHeight="1" x14ac:dyDescent="0.65"/>
    <row r="629" ht="21.75" customHeight="1" x14ac:dyDescent="0.65"/>
    <row r="630" ht="21.75" customHeight="1" x14ac:dyDescent="0.65"/>
    <row r="631" ht="21.75" customHeight="1" x14ac:dyDescent="0.65"/>
    <row r="632" ht="21.75" customHeight="1" x14ac:dyDescent="0.65"/>
    <row r="633" ht="21.75" customHeight="1" x14ac:dyDescent="0.65"/>
    <row r="634" ht="21.75" customHeight="1" x14ac:dyDescent="0.65"/>
    <row r="635" ht="21.75" customHeight="1" x14ac:dyDescent="0.65"/>
    <row r="636" ht="21.75" customHeight="1" x14ac:dyDescent="0.65"/>
    <row r="637" ht="21.75" customHeight="1" x14ac:dyDescent="0.65"/>
    <row r="638" ht="21.75" customHeight="1" x14ac:dyDescent="0.65"/>
    <row r="639" ht="21.75" customHeight="1" x14ac:dyDescent="0.65"/>
    <row r="640" ht="21.75" customHeight="1" x14ac:dyDescent="0.65"/>
    <row r="641" ht="21.75" customHeight="1" x14ac:dyDescent="0.65"/>
    <row r="642" ht="21.75" customHeight="1" x14ac:dyDescent="0.65"/>
    <row r="643" ht="21.75" customHeight="1" x14ac:dyDescent="0.65"/>
    <row r="644" ht="21.75" customHeight="1" x14ac:dyDescent="0.65"/>
    <row r="645" ht="21.75" customHeight="1" x14ac:dyDescent="0.65"/>
    <row r="646" ht="21.75" customHeight="1" x14ac:dyDescent="0.65"/>
    <row r="647" ht="21.75" customHeight="1" x14ac:dyDescent="0.65"/>
    <row r="648" ht="21.75" customHeight="1" x14ac:dyDescent="0.65"/>
    <row r="649" ht="21.75" customHeight="1" x14ac:dyDescent="0.65"/>
    <row r="650" ht="21.75" customHeight="1" x14ac:dyDescent="0.65"/>
    <row r="651" ht="21.75" customHeight="1" x14ac:dyDescent="0.65"/>
    <row r="652" ht="21.75" customHeight="1" x14ac:dyDescent="0.65"/>
    <row r="653" ht="21.75" customHeight="1" x14ac:dyDescent="0.65"/>
    <row r="654" ht="21.75" customHeight="1" x14ac:dyDescent="0.65"/>
    <row r="655" ht="21.75" customHeight="1" x14ac:dyDescent="0.65"/>
    <row r="656" ht="21.75" customHeight="1" x14ac:dyDescent="0.65"/>
    <row r="657" ht="21.75" customHeight="1" x14ac:dyDescent="0.65"/>
    <row r="658" ht="21.75" customHeight="1" x14ac:dyDescent="0.65"/>
    <row r="659" ht="21.75" customHeight="1" x14ac:dyDescent="0.65"/>
    <row r="660" ht="21.75" customHeight="1" x14ac:dyDescent="0.65"/>
    <row r="661" ht="21.75" customHeight="1" x14ac:dyDescent="0.65"/>
    <row r="662" ht="21.75" customHeight="1" x14ac:dyDescent="0.65"/>
    <row r="663" ht="21.75" customHeight="1" x14ac:dyDescent="0.65"/>
    <row r="664" ht="21.75" customHeight="1" x14ac:dyDescent="0.65"/>
    <row r="665" ht="21.75" customHeight="1" x14ac:dyDescent="0.65"/>
    <row r="666" ht="21.75" customHeight="1" x14ac:dyDescent="0.65"/>
    <row r="667" ht="21.75" customHeight="1" x14ac:dyDescent="0.65"/>
    <row r="668" ht="21.75" customHeight="1" x14ac:dyDescent="0.65"/>
    <row r="669" ht="21.75" customHeight="1" x14ac:dyDescent="0.65"/>
    <row r="670" ht="21.75" customHeight="1" x14ac:dyDescent="0.65"/>
    <row r="671" ht="21.75" customHeight="1" x14ac:dyDescent="0.65"/>
    <row r="672" ht="21.75" customHeight="1" x14ac:dyDescent="0.65"/>
    <row r="673" ht="21.75" customHeight="1" x14ac:dyDescent="0.65"/>
    <row r="674" ht="21.75" customHeight="1" x14ac:dyDescent="0.65"/>
    <row r="675" ht="21.75" customHeight="1" x14ac:dyDescent="0.65"/>
    <row r="676" ht="21.75" customHeight="1" x14ac:dyDescent="0.65"/>
    <row r="677" ht="21.75" customHeight="1" x14ac:dyDescent="0.65"/>
    <row r="678" ht="21.75" customHeight="1" x14ac:dyDescent="0.65"/>
    <row r="679" ht="21.75" customHeight="1" x14ac:dyDescent="0.65"/>
    <row r="680" ht="21.75" customHeight="1" x14ac:dyDescent="0.65"/>
    <row r="681" ht="21.75" customHeight="1" x14ac:dyDescent="0.65"/>
    <row r="682" ht="21.75" customHeight="1" x14ac:dyDescent="0.65"/>
    <row r="683" ht="21.75" customHeight="1" x14ac:dyDescent="0.65"/>
    <row r="684" ht="21.75" customHeight="1" x14ac:dyDescent="0.65"/>
    <row r="685" ht="21.75" customHeight="1" x14ac:dyDescent="0.65"/>
    <row r="686" ht="21.75" customHeight="1" x14ac:dyDescent="0.65"/>
    <row r="687" ht="21.75" customHeight="1" x14ac:dyDescent="0.65"/>
    <row r="688" ht="21.75" customHeight="1" x14ac:dyDescent="0.65"/>
    <row r="689" ht="21.75" customHeight="1" x14ac:dyDescent="0.65"/>
    <row r="690" ht="21.75" customHeight="1" x14ac:dyDescent="0.65"/>
    <row r="691" ht="21.75" customHeight="1" x14ac:dyDescent="0.65"/>
    <row r="692" ht="21.75" customHeight="1" x14ac:dyDescent="0.65"/>
    <row r="693" ht="21.75" customHeight="1" x14ac:dyDescent="0.65"/>
    <row r="694" ht="21.75" customHeight="1" x14ac:dyDescent="0.65"/>
    <row r="695" ht="21.75" customHeight="1" x14ac:dyDescent="0.65"/>
    <row r="696" ht="21.75" customHeight="1" x14ac:dyDescent="0.65"/>
    <row r="697" ht="21.75" customHeight="1" x14ac:dyDescent="0.65"/>
    <row r="698" ht="21.75" customHeight="1" x14ac:dyDescent="0.65"/>
    <row r="699" ht="21.75" customHeight="1" x14ac:dyDescent="0.65"/>
    <row r="700" ht="21.75" customHeight="1" x14ac:dyDescent="0.65"/>
    <row r="701" ht="21.75" customHeight="1" x14ac:dyDescent="0.65"/>
    <row r="702" ht="21.75" customHeight="1" x14ac:dyDescent="0.65"/>
    <row r="703" ht="21.75" customHeight="1" x14ac:dyDescent="0.65"/>
    <row r="704" ht="21.75" customHeight="1" x14ac:dyDescent="0.65"/>
    <row r="705" ht="21.75" customHeight="1" x14ac:dyDescent="0.65"/>
    <row r="706" ht="21.75" customHeight="1" x14ac:dyDescent="0.65"/>
    <row r="707" ht="21.75" customHeight="1" x14ac:dyDescent="0.65"/>
    <row r="708" ht="21.75" customHeight="1" x14ac:dyDescent="0.65"/>
    <row r="709" ht="21.75" customHeight="1" x14ac:dyDescent="0.65"/>
    <row r="710" ht="21.75" customHeight="1" x14ac:dyDescent="0.65"/>
    <row r="711" ht="21.75" customHeight="1" x14ac:dyDescent="0.65"/>
    <row r="712" ht="21.75" customHeight="1" x14ac:dyDescent="0.65"/>
    <row r="713" ht="21.75" customHeight="1" x14ac:dyDescent="0.65"/>
    <row r="714" ht="21.75" customHeight="1" x14ac:dyDescent="0.65"/>
    <row r="715" ht="21.75" customHeight="1" x14ac:dyDescent="0.65"/>
    <row r="716" ht="21.75" customHeight="1" x14ac:dyDescent="0.65"/>
    <row r="717" ht="21.75" customHeight="1" x14ac:dyDescent="0.65"/>
    <row r="718" ht="21.75" customHeight="1" x14ac:dyDescent="0.65"/>
    <row r="719" ht="21.75" customHeight="1" x14ac:dyDescent="0.65"/>
    <row r="720" ht="21.75" customHeight="1" x14ac:dyDescent="0.65"/>
    <row r="721" ht="21.75" customHeight="1" x14ac:dyDescent="0.65"/>
    <row r="722" ht="21.75" customHeight="1" x14ac:dyDescent="0.65"/>
    <row r="723" ht="21.75" customHeight="1" x14ac:dyDescent="0.65"/>
    <row r="724" ht="21.75" customHeight="1" x14ac:dyDescent="0.65"/>
    <row r="725" ht="21.75" customHeight="1" x14ac:dyDescent="0.65"/>
    <row r="726" ht="21.75" customHeight="1" x14ac:dyDescent="0.65"/>
    <row r="727" ht="21.75" customHeight="1" x14ac:dyDescent="0.65"/>
    <row r="728" ht="21.75" customHeight="1" x14ac:dyDescent="0.65"/>
    <row r="729" ht="21.75" customHeight="1" x14ac:dyDescent="0.65"/>
    <row r="730" ht="21.75" customHeight="1" x14ac:dyDescent="0.65"/>
    <row r="731" ht="21.75" customHeight="1" x14ac:dyDescent="0.65"/>
    <row r="732" ht="21.75" customHeight="1" x14ac:dyDescent="0.65"/>
    <row r="733" ht="21.75" customHeight="1" x14ac:dyDescent="0.65"/>
    <row r="734" ht="21.75" customHeight="1" x14ac:dyDescent="0.65"/>
    <row r="735" ht="21.75" customHeight="1" x14ac:dyDescent="0.65"/>
    <row r="736" ht="21.75" customHeight="1" x14ac:dyDescent="0.65"/>
    <row r="737" ht="21.75" customHeight="1" x14ac:dyDescent="0.65"/>
    <row r="738" ht="21.75" customHeight="1" x14ac:dyDescent="0.65"/>
    <row r="739" ht="21.75" customHeight="1" x14ac:dyDescent="0.65"/>
    <row r="740" ht="21.75" customHeight="1" x14ac:dyDescent="0.65"/>
    <row r="741" ht="21.75" customHeight="1" x14ac:dyDescent="0.65"/>
    <row r="742" ht="21.75" customHeight="1" x14ac:dyDescent="0.65"/>
    <row r="743" ht="21.75" customHeight="1" x14ac:dyDescent="0.65"/>
    <row r="744" ht="21.75" customHeight="1" x14ac:dyDescent="0.65"/>
    <row r="745" ht="21.75" customHeight="1" x14ac:dyDescent="0.65"/>
    <row r="746" ht="21.75" customHeight="1" x14ac:dyDescent="0.65"/>
    <row r="747" ht="21.75" customHeight="1" x14ac:dyDescent="0.65"/>
    <row r="748" ht="21.75" customHeight="1" x14ac:dyDescent="0.65"/>
    <row r="749" ht="21.75" customHeight="1" x14ac:dyDescent="0.65"/>
    <row r="750" ht="21.75" customHeight="1" x14ac:dyDescent="0.65"/>
    <row r="751" ht="21.75" customHeight="1" x14ac:dyDescent="0.65"/>
    <row r="752" ht="21.75" customHeight="1" x14ac:dyDescent="0.65"/>
    <row r="753" ht="21.75" customHeight="1" x14ac:dyDescent="0.65"/>
    <row r="754" ht="21.75" customHeight="1" x14ac:dyDescent="0.65"/>
    <row r="755" ht="21.75" customHeight="1" x14ac:dyDescent="0.65"/>
    <row r="756" ht="21.75" customHeight="1" x14ac:dyDescent="0.65"/>
    <row r="757" ht="21.75" customHeight="1" x14ac:dyDescent="0.65"/>
    <row r="758" ht="21.75" customHeight="1" x14ac:dyDescent="0.65"/>
    <row r="759" ht="21.75" customHeight="1" x14ac:dyDescent="0.65"/>
    <row r="760" ht="21.75" customHeight="1" x14ac:dyDescent="0.65"/>
    <row r="761" ht="21.75" customHeight="1" x14ac:dyDescent="0.65"/>
    <row r="762" ht="21.75" customHeight="1" x14ac:dyDescent="0.65"/>
    <row r="763" ht="21.75" customHeight="1" x14ac:dyDescent="0.65"/>
    <row r="764" ht="21.75" customHeight="1" x14ac:dyDescent="0.65"/>
    <row r="765" ht="21.75" customHeight="1" x14ac:dyDescent="0.65"/>
    <row r="766" ht="21.75" customHeight="1" x14ac:dyDescent="0.65"/>
    <row r="767" ht="21.75" customHeight="1" x14ac:dyDescent="0.65"/>
    <row r="768" ht="21.75" customHeight="1" x14ac:dyDescent="0.65"/>
    <row r="769" ht="21.75" customHeight="1" x14ac:dyDescent="0.65"/>
    <row r="770" ht="21.75" customHeight="1" x14ac:dyDescent="0.65"/>
    <row r="771" ht="21.75" customHeight="1" x14ac:dyDescent="0.65"/>
    <row r="772" ht="21.75" customHeight="1" x14ac:dyDescent="0.65"/>
    <row r="773" ht="21.75" customHeight="1" x14ac:dyDescent="0.65"/>
    <row r="774" ht="21.75" customHeight="1" x14ac:dyDescent="0.65"/>
    <row r="775" ht="21.75" customHeight="1" x14ac:dyDescent="0.65"/>
    <row r="776" ht="21.75" customHeight="1" x14ac:dyDescent="0.65"/>
    <row r="777" ht="21.75" customHeight="1" x14ac:dyDescent="0.65"/>
    <row r="778" ht="21.75" customHeight="1" x14ac:dyDescent="0.65"/>
    <row r="779" ht="21.75" customHeight="1" x14ac:dyDescent="0.65"/>
    <row r="780" ht="21.75" customHeight="1" x14ac:dyDescent="0.65"/>
    <row r="781" ht="21.75" customHeight="1" x14ac:dyDescent="0.65"/>
    <row r="782" ht="21.75" customHeight="1" x14ac:dyDescent="0.65"/>
    <row r="783" ht="21.75" customHeight="1" x14ac:dyDescent="0.65"/>
    <row r="784" ht="21.75" customHeight="1" x14ac:dyDescent="0.65"/>
    <row r="785" ht="21.75" customHeight="1" x14ac:dyDescent="0.65"/>
    <row r="786" ht="21.75" customHeight="1" x14ac:dyDescent="0.65"/>
    <row r="787" ht="21.75" customHeight="1" x14ac:dyDescent="0.65"/>
    <row r="788" ht="21.75" customHeight="1" x14ac:dyDescent="0.65"/>
    <row r="789" ht="21.75" customHeight="1" x14ac:dyDescent="0.65"/>
    <row r="790" ht="21.75" customHeight="1" x14ac:dyDescent="0.65"/>
    <row r="791" ht="21.75" customHeight="1" x14ac:dyDescent="0.65"/>
    <row r="792" ht="21.75" customHeight="1" x14ac:dyDescent="0.65"/>
    <row r="793" ht="21.75" customHeight="1" x14ac:dyDescent="0.65"/>
    <row r="794" ht="21.75" customHeight="1" x14ac:dyDescent="0.65"/>
    <row r="795" ht="21.75" customHeight="1" x14ac:dyDescent="0.65"/>
    <row r="796" ht="21.75" customHeight="1" x14ac:dyDescent="0.65"/>
    <row r="797" ht="21.75" customHeight="1" x14ac:dyDescent="0.65"/>
    <row r="798" ht="21.75" customHeight="1" x14ac:dyDescent="0.65"/>
    <row r="799" ht="21.75" customHeight="1" x14ac:dyDescent="0.65"/>
    <row r="800" ht="21.75" customHeight="1" x14ac:dyDescent="0.65"/>
    <row r="801" ht="21.75" customHeight="1" x14ac:dyDescent="0.65"/>
    <row r="802" ht="21.75" customHeight="1" x14ac:dyDescent="0.65"/>
    <row r="803" ht="21.75" customHeight="1" x14ac:dyDescent="0.65"/>
    <row r="804" ht="21.75" customHeight="1" x14ac:dyDescent="0.65"/>
    <row r="805" ht="21.75" customHeight="1" x14ac:dyDescent="0.65"/>
    <row r="806" ht="21.75" customHeight="1" x14ac:dyDescent="0.65"/>
    <row r="807" ht="21.75" customHeight="1" x14ac:dyDescent="0.65"/>
    <row r="808" ht="21.75" customHeight="1" x14ac:dyDescent="0.65"/>
    <row r="809" ht="21.75" customHeight="1" x14ac:dyDescent="0.65"/>
    <row r="810" ht="21.75" customHeight="1" x14ac:dyDescent="0.65"/>
    <row r="811" ht="21.75" customHeight="1" x14ac:dyDescent="0.65"/>
    <row r="812" ht="21.75" customHeight="1" x14ac:dyDescent="0.65"/>
    <row r="813" ht="21.75" customHeight="1" x14ac:dyDescent="0.65"/>
    <row r="814" ht="21.75" customHeight="1" x14ac:dyDescent="0.65"/>
    <row r="815" ht="21.75" customHeight="1" x14ac:dyDescent="0.65"/>
    <row r="816" ht="21.75" customHeight="1" x14ac:dyDescent="0.65"/>
    <row r="817" ht="21.75" customHeight="1" x14ac:dyDescent="0.65"/>
    <row r="818" ht="21.75" customHeight="1" x14ac:dyDescent="0.65"/>
    <row r="819" ht="21.75" customHeight="1" x14ac:dyDescent="0.65"/>
    <row r="820" ht="21.75" customHeight="1" x14ac:dyDescent="0.65"/>
    <row r="821" ht="21.75" customHeight="1" x14ac:dyDescent="0.65"/>
    <row r="822" ht="21.75" customHeight="1" x14ac:dyDescent="0.65"/>
    <row r="823" ht="21.75" customHeight="1" x14ac:dyDescent="0.65"/>
    <row r="824" ht="21.75" customHeight="1" x14ac:dyDescent="0.65"/>
    <row r="825" ht="21.75" customHeight="1" x14ac:dyDescent="0.65"/>
    <row r="826" ht="21.75" customHeight="1" x14ac:dyDescent="0.65"/>
    <row r="827" ht="21.75" customHeight="1" x14ac:dyDescent="0.65"/>
    <row r="828" ht="21.75" customHeight="1" x14ac:dyDescent="0.65"/>
    <row r="829" ht="21.75" customHeight="1" x14ac:dyDescent="0.65"/>
    <row r="830" ht="21.75" customHeight="1" x14ac:dyDescent="0.65"/>
    <row r="831" ht="21.75" customHeight="1" x14ac:dyDescent="0.65"/>
    <row r="832" ht="21.75" customHeight="1" x14ac:dyDescent="0.65"/>
    <row r="833" ht="21.75" customHeight="1" x14ac:dyDescent="0.65"/>
    <row r="834" ht="21.75" customHeight="1" x14ac:dyDescent="0.65"/>
    <row r="835" ht="21.75" customHeight="1" x14ac:dyDescent="0.65"/>
    <row r="836" ht="21.75" customHeight="1" x14ac:dyDescent="0.65"/>
    <row r="837" ht="21.75" customHeight="1" x14ac:dyDescent="0.65"/>
    <row r="838" ht="21.75" customHeight="1" x14ac:dyDescent="0.65"/>
    <row r="839" ht="21.75" customHeight="1" x14ac:dyDescent="0.65"/>
    <row r="840" ht="21.75" customHeight="1" x14ac:dyDescent="0.65"/>
    <row r="841" ht="21.75" customHeight="1" x14ac:dyDescent="0.65"/>
    <row r="842" ht="21.75" customHeight="1" x14ac:dyDescent="0.65"/>
    <row r="843" ht="21.75" customHeight="1" x14ac:dyDescent="0.65"/>
    <row r="844" ht="21.75" customHeight="1" x14ac:dyDescent="0.65"/>
    <row r="845" ht="21.75" customHeight="1" x14ac:dyDescent="0.65"/>
    <row r="846" ht="21.75" customHeight="1" x14ac:dyDescent="0.65"/>
    <row r="847" ht="21.75" customHeight="1" x14ac:dyDescent="0.65"/>
    <row r="848" ht="21.75" customHeight="1" x14ac:dyDescent="0.65"/>
    <row r="849" ht="21.75" customHeight="1" x14ac:dyDescent="0.65"/>
    <row r="850" ht="21.75" customHeight="1" x14ac:dyDescent="0.65"/>
    <row r="851" ht="21.75" customHeight="1" x14ac:dyDescent="0.65"/>
    <row r="852" ht="21.75" customHeight="1" x14ac:dyDescent="0.65"/>
    <row r="853" ht="21.75" customHeight="1" x14ac:dyDescent="0.65"/>
    <row r="854" ht="21.75" customHeight="1" x14ac:dyDescent="0.65"/>
    <row r="855" ht="21.75" customHeight="1" x14ac:dyDescent="0.65"/>
    <row r="856" ht="21.75" customHeight="1" x14ac:dyDescent="0.65"/>
    <row r="857" ht="21.75" customHeight="1" x14ac:dyDescent="0.65"/>
    <row r="858" ht="21.75" customHeight="1" x14ac:dyDescent="0.65"/>
    <row r="859" ht="21.75" customHeight="1" x14ac:dyDescent="0.65"/>
    <row r="860" ht="21.75" customHeight="1" x14ac:dyDescent="0.65"/>
    <row r="861" ht="21.75" customHeight="1" x14ac:dyDescent="0.65"/>
    <row r="862" ht="21.75" customHeight="1" x14ac:dyDescent="0.65"/>
    <row r="863" ht="21.75" customHeight="1" x14ac:dyDescent="0.65"/>
    <row r="864" ht="21.75" customHeight="1" x14ac:dyDescent="0.65"/>
    <row r="865" ht="21.75" customHeight="1" x14ac:dyDescent="0.65"/>
    <row r="866" ht="21.75" customHeight="1" x14ac:dyDescent="0.65"/>
    <row r="867" ht="21.75" customHeight="1" x14ac:dyDescent="0.65"/>
    <row r="868" ht="21.75" customHeight="1" x14ac:dyDescent="0.65"/>
    <row r="869" ht="21.75" customHeight="1" x14ac:dyDescent="0.65"/>
    <row r="870" ht="21.75" customHeight="1" x14ac:dyDescent="0.65"/>
    <row r="871" ht="21.75" customHeight="1" x14ac:dyDescent="0.65"/>
    <row r="872" ht="21.75" customHeight="1" x14ac:dyDescent="0.65"/>
    <row r="873" ht="21.75" customHeight="1" x14ac:dyDescent="0.65"/>
    <row r="874" ht="21.75" customHeight="1" x14ac:dyDescent="0.65"/>
    <row r="875" ht="21.75" customHeight="1" x14ac:dyDescent="0.65"/>
    <row r="876" ht="21.75" customHeight="1" x14ac:dyDescent="0.65"/>
    <row r="877" ht="21.75" customHeight="1" x14ac:dyDescent="0.65"/>
    <row r="878" ht="21.75" customHeight="1" x14ac:dyDescent="0.65"/>
    <row r="879" ht="21.75" customHeight="1" x14ac:dyDescent="0.65"/>
    <row r="880" ht="21.75" customHeight="1" x14ac:dyDescent="0.65"/>
    <row r="881" ht="21.75" customHeight="1" x14ac:dyDescent="0.65"/>
    <row r="882" ht="21.75" customHeight="1" x14ac:dyDescent="0.65"/>
    <row r="883" ht="21.75" customHeight="1" x14ac:dyDescent="0.65"/>
    <row r="884" ht="21.75" customHeight="1" x14ac:dyDescent="0.65"/>
    <row r="885" ht="21.75" customHeight="1" x14ac:dyDescent="0.65"/>
    <row r="886" ht="21.75" customHeight="1" x14ac:dyDescent="0.65"/>
    <row r="887" ht="21.75" customHeight="1" x14ac:dyDescent="0.65"/>
    <row r="888" ht="21.75" customHeight="1" x14ac:dyDescent="0.65"/>
    <row r="889" ht="21.75" customHeight="1" x14ac:dyDescent="0.65"/>
    <row r="890" ht="21.75" customHeight="1" x14ac:dyDescent="0.65"/>
    <row r="891" ht="21.75" customHeight="1" x14ac:dyDescent="0.65"/>
    <row r="892" ht="21.75" customHeight="1" x14ac:dyDescent="0.65"/>
    <row r="893" ht="21.75" customHeight="1" x14ac:dyDescent="0.65"/>
    <row r="894" ht="21.75" customHeight="1" x14ac:dyDescent="0.65"/>
    <row r="895" ht="21.75" customHeight="1" x14ac:dyDescent="0.65"/>
    <row r="896" ht="21.75" customHeight="1" x14ac:dyDescent="0.65"/>
    <row r="897" ht="21.75" customHeight="1" x14ac:dyDescent="0.65"/>
    <row r="898" ht="21.75" customHeight="1" x14ac:dyDescent="0.65"/>
    <row r="899" ht="21.75" customHeight="1" x14ac:dyDescent="0.65"/>
    <row r="900" ht="21.75" customHeight="1" x14ac:dyDescent="0.65"/>
    <row r="901" ht="21.75" customHeight="1" x14ac:dyDescent="0.65"/>
    <row r="902" ht="21.75" customHeight="1" x14ac:dyDescent="0.65"/>
    <row r="903" ht="21.75" customHeight="1" x14ac:dyDescent="0.65"/>
    <row r="904" ht="21.75" customHeight="1" x14ac:dyDescent="0.65"/>
    <row r="905" ht="21.75" customHeight="1" x14ac:dyDescent="0.65"/>
    <row r="906" ht="21.75" customHeight="1" x14ac:dyDescent="0.65"/>
    <row r="907" ht="21.75" customHeight="1" x14ac:dyDescent="0.65"/>
    <row r="908" ht="21.75" customHeight="1" x14ac:dyDescent="0.65"/>
    <row r="909" ht="21.75" customHeight="1" x14ac:dyDescent="0.65"/>
    <row r="910" ht="21.75" customHeight="1" x14ac:dyDescent="0.65"/>
    <row r="911" ht="21.75" customHeight="1" x14ac:dyDescent="0.65"/>
    <row r="912" ht="21.75" customHeight="1" x14ac:dyDescent="0.65"/>
    <row r="913" ht="21.75" customHeight="1" x14ac:dyDescent="0.65"/>
    <row r="914" ht="21.75" customHeight="1" x14ac:dyDescent="0.65"/>
    <row r="915" ht="21.75" customHeight="1" x14ac:dyDescent="0.65"/>
    <row r="916" ht="21.75" customHeight="1" x14ac:dyDescent="0.65"/>
    <row r="917" ht="21.75" customHeight="1" x14ac:dyDescent="0.65"/>
    <row r="918" ht="21.75" customHeight="1" x14ac:dyDescent="0.65"/>
    <row r="919" ht="21.75" customHeight="1" x14ac:dyDescent="0.65"/>
    <row r="920" ht="21.75" customHeight="1" x14ac:dyDescent="0.65"/>
    <row r="921" ht="21.75" customHeight="1" x14ac:dyDescent="0.65"/>
    <row r="922" ht="21.75" customHeight="1" x14ac:dyDescent="0.65"/>
    <row r="923" ht="21.75" customHeight="1" x14ac:dyDescent="0.65"/>
    <row r="924" ht="21.75" customHeight="1" x14ac:dyDescent="0.65"/>
    <row r="925" ht="21.75" customHeight="1" x14ac:dyDescent="0.65"/>
    <row r="926" ht="21.75" customHeight="1" x14ac:dyDescent="0.65"/>
    <row r="927" ht="21.75" customHeight="1" x14ac:dyDescent="0.65"/>
    <row r="928" ht="21.75" customHeight="1" x14ac:dyDescent="0.65"/>
    <row r="929" ht="21.75" customHeight="1" x14ac:dyDescent="0.65"/>
    <row r="930" ht="21.75" customHeight="1" x14ac:dyDescent="0.65"/>
    <row r="931" ht="21.75" customHeight="1" x14ac:dyDescent="0.65"/>
    <row r="932" ht="21.75" customHeight="1" x14ac:dyDescent="0.65"/>
    <row r="933" ht="21.75" customHeight="1" x14ac:dyDescent="0.65"/>
    <row r="934" ht="21.75" customHeight="1" x14ac:dyDescent="0.65"/>
    <row r="935" ht="21.75" customHeight="1" x14ac:dyDescent="0.65"/>
    <row r="936" ht="21.75" customHeight="1" x14ac:dyDescent="0.65"/>
    <row r="937" ht="21.75" customHeight="1" x14ac:dyDescent="0.65"/>
    <row r="938" ht="21.75" customHeight="1" x14ac:dyDescent="0.65"/>
    <row r="939" ht="21.75" customHeight="1" x14ac:dyDescent="0.65"/>
    <row r="940" ht="21.75" customHeight="1" x14ac:dyDescent="0.65"/>
    <row r="941" ht="21.75" customHeight="1" x14ac:dyDescent="0.65"/>
    <row r="942" ht="21.75" customHeight="1" x14ac:dyDescent="0.65"/>
    <row r="943" ht="21.75" customHeight="1" x14ac:dyDescent="0.65"/>
    <row r="944" ht="21.75" customHeight="1" x14ac:dyDescent="0.65"/>
    <row r="945" ht="21.75" customHeight="1" x14ac:dyDescent="0.65"/>
    <row r="946" ht="21.75" customHeight="1" x14ac:dyDescent="0.65"/>
    <row r="947" ht="21.75" customHeight="1" x14ac:dyDescent="0.65"/>
    <row r="948" ht="21.75" customHeight="1" x14ac:dyDescent="0.65"/>
    <row r="949" ht="21.75" customHeight="1" x14ac:dyDescent="0.65"/>
    <row r="950" ht="21.75" customHeight="1" x14ac:dyDescent="0.65"/>
    <row r="951" ht="21.75" customHeight="1" x14ac:dyDescent="0.65"/>
    <row r="952" ht="21.75" customHeight="1" x14ac:dyDescent="0.65"/>
    <row r="953" ht="21.75" customHeight="1" x14ac:dyDescent="0.65"/>
    <row r="954" ht="21.75" customHeight="1" x14ac:dyDescent="0.65"/>
    <row r="955" ht="21.75" customHeight="1" x14ac:dyDescent="0.65"/>
    <row r="956" ht="21.75" customHeight="1" x14ac:dyDescent="0.65"/>
    <row r="957" ht="21.75" customHeight="1" x14ac:dyDescent="0.65"/>
    <row r="958" ht="21.75" customHeight="1" x14ac:dyDescent="0.65"/>
    <row r="959" ht="21.75" customHeight="1" x14ac:dyDescent="0.65"/>
    <row r="960" ht="21.75" customHeight="1" x14ac:dyDescent="0.65"/>
    <row r="961" ht="21.75" customHeight="1" x14ac:dyDescent="0.65"/>
    <row r="962" ht="21.75" customHeight="1" x14ac:dyDescent="0.65"/>
    <row r="963" ht="21.75" customHeight="1" x14ac:dyDescent="0.65"/>
    <row r="964" ht="21.75" customHeight="1" x14ac:dyDescent="0.65"/>
    <row r="965" ht="21.75" customHeight="1" x14ac:dyDescent="0.65"/>
    <row r="966" ht="21.75" customHeight="1" x14ac:dyDescent="0.65"/>
    <row r="967" ht="21.75" customHeight="1" x14ac:dyDescent="0.65"/>
    <row r="968" ht="21.75" customHeight="1" x14ac:dyDescent="0.65"/>
    <row r="969" ht="21.75" customHeight="1" x14ac:dyDescent="0.65"/>
    <row r="970" ht="21.75" customHeight="1" x14ac:dyDescent="0.65"/>
    <row r="971" ht="21.75" customHeight="1" x14ac:dyDescent="0.65"/>
    <row r="972" ht="21.75" customHeight="1" x14ac:dyDescent="0.65"/>
    <row r="973" ht="21.75" customHeight="1" x14ac:dyDescent="0.65"/>
    <row r="974" ht="21.75" customHeight="1" x14ac:dyDescent="0.65"/>
    <row r="975" ht="21.75" customHeight="1" x14ac:dyDescent="0.65"/>
    <row r="976" ht="21.75" customHeight="1" x14ac:dyDescent="0.65"/>
    <row r="977" ht="21.75" customHeight="1" x14ac:dyDescent="0.65"/>
    <row r="978" ht="21.75" customHeight="1" x14ac:dyDescent="0.65"/>
    <row r="979" ht="21.75" customHeight="1" x14ac:dyDescent="0.65"/>
    <row r="980" ht="21.75" customHeight="1" x14ac:dyDescent="0.65"/>
    <row r="981" ht="21.75" customHeight="1" x14ac:dyDescent="0.65"/>
    <row r="982" ht="21.75" customHeight="1" x14ac:dyDescent="0.65"/>
    <row r="983" ht="21.75" customHeight="1" x14ac:dyDescent="0.65"/>
    <row r="984" ht="21.75" customHeight="1" x14ac:dyDescent="0.65"/>
    <row r="985" ht="21.75" customHeight="1" x14ac:dyDescent="0.65"/>
    <row r="986" ht="21.75" customHeight="1" x14ac:dyDescent="0.65"/>
    <row r="987" ht="21.75" customHeight="1" x14ac:dyDescent="0.65"/>
    <row r="988" ht="21.75" customHeight="1" x14ac:dyDescent="0.65"/>
    <row r="989" ht="21.75" customHeight="1" x14ac:dyDescent="0.65"/>
    <row r="990" ht="21.75" customHeight="1" x14ac:dyDescent="0.65"/>
    <row r="991" ht="21.75" customHeight="1" x14ac:dyDescent="0.65"/>
    <row r="992" ht="21.75" customHeight="1" x14ac:dyDescent="0.65"/>
    <row r="993" ht="21.75" customHeight="1" x14ac:dyDescent="0.65"/>
    <row r="994" ht="21.75" customHeight="1" x14ac:dyDescent="0.65"/>
    <row r="995" ht="21.75" customHeight="1" x14ac:dyDescent="0.65"/>
    <row r="996" ht="21.75" customHeight="1" x14ac:dyDescent="0.65"/>
    <row r="997" ht="21.75" customHeight="1" x14ac:dyDescent="0.65"/>
    <row r="998" ht="21.75" customHeight="1" x14ac:dyDescent="0.65"/>
    <row r="999" ht="21.75" customHeight="1" x14ac:dyDescent="0.65"/>
    <row r="1000" ht="21.75" customHeight="1" x14ac:dyDescent="0.65"/>
  </sheetData>
  <mergeCells count="53">
    <mergeCell ref="E13:H13"/>
    <mergeCell ref="I13:J13"/>
    <mergeCell ref="N13:Q13"/>
    <mergeCell ref="R13:S13"/>
    <mergeCell ref="B13:D13"/>
    <mergeCell ref="K13:M13"/>
    <mergeCell ref="B14:D14"/>
    <mergeCell ref="E14:H14"/>
    <mergeCell ref="I14:J14"/>
    <mergeCell ref="K14:M14"/>
    <mergeCell ref="N14:Q14"/>
    <mergeCell ref="R14:S14"/>
    <mergeCell ref="B1:S1"/>
    <mergeCell ref="B2:S2"/>
    <mergeCell ref="E4:J4"/>
    <mergeCell ref="N4:S4"/>
    <mergeCell ref="E5:J5"/>
    <mergeCell ref="N5:S5"/>
    <mergeCell ref="N6:S6"/>
    <mergeCell ref="N9:Q9"/>
    <mergeCell ref="R9:S9"/>
    <mergeCell ref="E6:J6"/>
    <mergeCell ref="B8:J8"/>
    <mergeCell ref="K8:S8"/>
    <mergeCell ref="B9:D9"/>
    <mergeCell ref="E9:H9"/>
    <mergeCell ref="I9:J9"/>
    <mergeCell ref="K9:M9"/>
    <mergeCell ref="K11:M11"/>
    <mergeCell ref="N11:Q11"/>
    <mergeCell ref="N12:Q12"/>
    <mergeCell ref="R12:S12"/>
    <mergeCell ref="R10:S10"/>
    <mergeCell ref="B10:D10"/>
    <mergeCell ref="E10:H10"/>
    <mergeCell ref="I10:J10"/>
    <mergeCell ref="K10:M10"/>
    <mergeCell ref="N10:Q10"/>
    <mergeCell ref="B11:D11"/>
    <mergeCell ref="R11:S11"/>
    <mergeCell ref="E11:H11"/>
    <mergeCell ref="I11:J11"/>
    <mergeCell ref="B12:D12"/>
    <mergeCell ref="E12:H12"/>
    <mergeCell ref="I12:J12"/>
    <mergeCell ref="K12:M12"/>
    <mergeCell ref="R15:S15"/>
    <mergeCell ref="N17:Q17"/>
    <mergeCell ref="B15:D15"/>
    <mergeCell ref="E15:H15"/>
    <mergeCell ref="I15:J15"/>
    <mergeCell ref="K15:M15"/>
    <mergeCell ref="N15:Q15"/>
  </mergeCells>
  <pageMargins left="0.70866141732283472" right="0.70866141732283472" top="0.74803149606299213" bottom="0.74803149606299213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846250-9770-40F8-9D43-156C513144E2}">
          <x14:formula1>
            <xm:f>Payroll!$B$1:$B$117</xm:f>
          </x14:formula1>
          <xm:sqref>E4:J4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watcharee phiwmali</dc:creator>
  <cp:lastModifiedBy>Vichuda Pachanee</cp:lastModifiedBy>
  <dcterms:created xsi:type="dcterms:W3CDTF">2025-08-27T02:02:35Z</dcterms:created>
  <dcterms:modified xsi:type="dcterms:W3CDTF">2026-05-05T18:34:22Z</dcterms:modified>
</cp:coreProperties>
</file>